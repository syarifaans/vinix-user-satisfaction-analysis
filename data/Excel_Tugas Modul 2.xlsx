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stefa\Downloads\"/>
    </mc:Choice>
  </mc:AlternateContent>
  <xr:revisionPtr revIDLastSave="0" documentId="13_ncr:1_{10B48858-F428-4863-A3CC-D16D1A3F3F4B}" xr6:coauthVersionLast="47" xr6:coauthVersionMax="47" xr10:uidLastSave="{00000000-0000-0000-0000-000000000000}"/>
  <bookViews>
    <workbookView xWindow="-90" yWindow="0" windowWidth="9780" windowHeight="10170" firstSheet="1" activeTab="1" xr2:uid="{AC174E6F-2044-4A5E-A93B-8F16F0730132}"/>
  </bookViews>
  <sheets>
    <sheet name="Form Response" sheetId="2" r:id="rId1"/>
    <sheet name="Statistik Deskriptif" sheetId="1" r:id="rId2"/>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2" i="1" l="1"/>
  <c r="I62" i="1"/>
  <c r="J62" i="1"/>
  <c r="K62" i="1"/>
  <c r="L62" i="1"/>
  <c r="E55" i="2"/>
  <c r="N61" i="1"/>
  <c r="M61" i="1"/>
  <c r="G61" i="1"/>
  <c r="E61" i="1"/>
  <c r="C61" i="1"/>
  <c r="N60" i="1"/>
  <c r="M60" i="1"/>
  <c r="G60" i="1"/>
  <c r="E60" i="1"/>
  <c r="C60" i="1"/>
  <c r="N59" i="1"/>
  <c r="M59" i="1"/>
  <c r="G59" i="1"/>
  <c r="E59" i="1"/>
  <c r="C59" i="1"/>
  <c r="N58" i="1"/>
  <c r="M58" i="1"/>
  <c r="G58" i="1"/>
  <c r="E58" i="1"/>
  <c r="C58" i="1"/>
  <c r="N57" i="1"/>
  <c r="M57" i="1"/>
  <c r="G57" i="1"/>
  <c r="E57" i="1"/>
  <c r="C57" i="1"/>
  <c r="N56" i="1"/>
  <c r="M56" i="1"/>
  <c r="G56" i="1"/>
  <c r="E56" i="1"/>
  <c r="C56" i="1"/>
  <c r="N55" i="1"/>
  <c r="M55" i="1"/>
  <c r="G55" i="1"/>
  <c r="E55" i="1"/>
  <c r="C55" i="1"/>
  <c r="N54" i="1"/>
  <c r="M54" i="1"/>
  <c r="G54" i="1"/>
  <c r="E54" i="1"/>
  <c r="C54" i="1"/>
  <c r="N53" i="1"/>
  <c r="M53" i="1"/>
  <c r="G53" i="1"/>
  <c r="E53" i="1"/>
  <c r="C53" i="1"/>
  <c r="N52" i="1"/>
  <c r="M52" i="1"/>
  <c r="G52" i="1"/>
  <c r="E52" i="1"/>
  <c r="C52" i="1"/>
  <c r="N51" i="1"/>
  <c r="M51" i="1"/>
  <c r="G51" i="1"/>
  <c r="E51" i="1"/>
  <c r="C51" i="1"/>
  <c r="N50" i="1"/>
  <c r="M50" i="1"/>
  <c r="G50" i="1"/>
  <c r="E50" i="1"/>
  <c r="C50" i="1"/>
  <c r="N49" i="1"/>
  <c r="M49" i="1"/>
  <c r="G49" i="1"/>
  <c r="E49" i="1"/>
  <c r="C49" i="1"/>
  <c r="N48" i="1"/>
  <c r="M48" i="1"/>
  <c r="G48" i="1"/>
  <c r="E48" i="1"/>
  <c r="C48" i="1"/>
  <c r="N47" i="1"/>
  <c r="M47" i="1"/>
  <c r="G47" i="1"/>
  <c r="E47" i="1"/>
  <c r="C47" i="1"/>
  <c r="N46" i="1"/>
  <c r="M46" i="1"/>
  <c r="G46" i="1"/>
  <c r="E46" i="1"/>
  <c r="C46" i="1"/>
  <c r="N45" i="1"/>
  <c r="M45" i="1"/>
  <c r="G45" i="1"/>
  <c r="E45" i="1"/>
  <c r="C45" i="1"/>
  <c r="N44" i="1"/>
  <c r="M44" i="1"/>
  <c r="G44" i="1"/>
  <c r="E44" i="1"/>
  <c r="C44" i="1"/>
  <c r="N43" i="1"/>
  <c r="M43" i="1"/>
  <c r="G43" i="1"/>
  <c r="E43" i="1"/>
  <c r="C43" i="1"/>
  <c r="N42" i="1"/>
  <c r="M42" i="1"/>
  <c r="G42" i="1"/>
  <c r="E42" i="1"/>
  <c r="C42" i="1"/>
  <c r="W41" i="1"/>
  <c r="V41" i="1"/>
  <c r="U41" i="1"/>
  <c r="T41" i="1"/>
  <c r="S41" i="1"/>
  <c r="N41" i="1"/>
  <c r="M41" i="1"/>
  <c r="G41" i="1"/>
  <c r="E41" i="1"/>
  <c r="C41" i="1"/>
  <c r="N40" i="1"/>
  <c r="M40" i="1"/>
  <c r="G40" i="1"/>
  <c r="E40" i="1"/>
  <c r="C40" i="1"/>
  <c r="N39" i="1"/>
  <c r="M39" i="1"/>
  <c r="G39" i="1"/>
  <c r="E39" i="1"/>
  <c r="C39" i="1"/>
  <c r="N38" i="1"/>
  <c r="M38" i="1"/>
  <c r="G38" i="1"/>
  <c r="E38" i="1"/>
  <c r="C38" i="1"/>
  <c r="N37" i="1"/>
  <c r="M37" i="1"/>
  <c r="G37" i="1"/>
  <c r="E37" i="1"/>
  <c r="C37" i="1"/>
  <c r="N36" i="1"/>
  <c r="M36" i="1"/>
  <c r="G36" i="1"/>
  <c r="E36" i="1"/>
  <c r="C36" i="1"/>
  <c r="N35" i="1"/>
  <c r="M35" i="1"/>
  <c r="G35" i="1"/>
  <c r="E35" i="1"/>
  <c r="C35" i="1"/>
  <c r="N34" i="1"/>
  <c r="M34" i="1"/>
  <c r="G34" i="1"/>
  <c r="E34" i="1"/>
  <c r="C34" i="1"/>
  <c r="N33" i="1"/>
  <c r="M33" i="1"/>
  <c r="G33" i="1"/>
  <c r="E33" i="1"/>
  <c r="C33" i="1"/>
  <c r="N32" i="1"/>
  <c r="M32" i="1"/>
  <c r="G32" i="1"/>
  <c r="E32" i="1"/>
  <c r="C32" i="1"/>
  <c r="N31" i="1"/>
  <c r="M31" i="1"/>
  <c r="G31" i="1"/>
  <c r="E31" i="1"/>
  <c r="C31" i="1"/>
  <c r="N30" i="1"/>
  <c r="M30" i="1"/>
  <c r="G30" i="1"/>
  <c r="E30" i="1"/>
  <c r="C30" i="1"/>
  <c r="N29" i="1"/>
  <c r="M29" i="1"/>
  <c r="G29" i="1"/>
  <c r="E29" i="1"/>
  <c r="C29" i="1"/>
  <c r="N28" i="1"/>
  <c r="M28" i="1"/>
  <c r="G28" i="1"/>
  <c r="E28" i="1"/>
  <c r="C28" i="1"/>
  <c r="N27" i="1"/>
  <c r="M27" i="1"/>
  <c r="G27" i="1"/>
  <c r="E27" i="1"/>
  <c r="C27" i="1"/>
  <c r="N26" i="1"/>
  <c r="M26" i="1"/>
  <c r="G26" i="1"/>
  <c r="E26" i="1"/>
  <c r="C26" i="1"/>
  <c r="N25" i="1"/>
  <c r="M25" i="1"/>
  <c r="G25" i="1"/>
  <c r="E25" i="1"/>
  <c r="C25" i="1"/>
  <c r="N24" i="1"/>
  <c r="M24" i="1"/>
  <c r="G24" i="1"/>
  <c r="E24" i="1"/>
  <c r="C24" i="1"/>
  <c r="N23" i="1"/>
  <c r="M23" i="1"/>
  <c r="G23" i="1"/>
  <c r="E23" i="1"/>
  <c r="C23" i="1"/>
  <c r="N22" i="1"/>
  <c r="M22" i="1"/>
  <c r="G22" i="1"/>
  <c r="E22" i="1"/>
  <c r="C22" i="1"/>
  <c r="N21" i="1"/>
  <c r="M21" i="1"/>
  <c r="G21" i="1"/>
  <c r="E21" i="1"/>
  <c r="C21" i="1"/>
  <c r="N20" i="1"/>
  <c r="M20" i="1"/>
  <c r="G20" i="1"/>
  <c r="E20" i="1"/>
  <c r="C20" i="1"/>
  <c r="N19" i="1"/>
  <c r="M19" i="1"/>
  <c r="G19" i="1"/>
  <c r="E19" i="1"/>
  <c r="C19" i="1"/>
  <c r="N18" i="1"/>
  <c r="M18" i="1"/>
  <c r="G18" i="1"/>
  <c r="E18" i="1"/>
  <c r="C18" i="1"/>
  <c r="N17" i="1"/>
  <c r="M17" i="1"/>
  <c r="G17" i="1"/>
  <c r="E17" i="1"/>
  <c r="C17" i="1"/>
  <c r="N16" i="1"/>
  <c r="M16" i="1"/>
  <c r="G16" i="1"/>
  <c r="E16" i="1"/>
  <c r="C16" i="1"/>
  <c r="N15" i="1"/>
  <c r="M15" i="1"/>
  <c r="G15" i="1"/>
  <c r="E15" i="1"/>
  <c r="C15" i="1"/>
  <c r="N14" i="1"/>
  <c r="M14" i="1"/>
  <c r="G14" i="1"/>
  <c r="E14" i="1"/>
  <c r="C14" i="1"/>
  <c r="N13" i="1"/>
  <c r="M13" i="1"/>
  <c r="G13" i="1"/>
  <c r="E13" i="1"/>
  <c r="C13" i="1"/>
  <c r="N12" i="1"/>
  <c r="M12" i="1"/>
  <c r="G12" i="1"/>
  <c r="E12" i="1"/>
  <c r="C12" i="1"/>
  <c r="N11" i="1"/>
  <c r="M11" i="1"/>
  <c r="G11" i="1"/>
  <c r="E11" i="1"/>
  <c r="C11" i="1"/>
  <c r="N10" i="1"/>
  <c r="M10" i="1"/>
  <c r="G10" i="1"/>
  <c r="E10" i="1"/>
  <c r="C10" i="1"/>
  <c r="A10" i="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N9" i="1"/>
  <c r="M9" i="1"/>
  <c r="G9" i="1"/>
  <c r="E9" i="1"/>
  <c r="C9" i="1"/>
  <c r="N62" i="1" l="1"/>
  <c r="X41" i="1"/>
  <c r="X40" i="1"/>
  <c r="X43" i="1" s="1"/>
</calcChain>
</file>

<file path=xl/sharedStrings.xml><?xml version="1.0" encoding="utf-8"?>
<sst xmlns="http://schemas.openxmlformats.org/spreadsheetml/2006/main" count="706" uniqueCount="313">
  <si>
    <t>No.</t>
  </si>
  <si>
    <t>Usia</t>
  </si>
  <si>
    <t>Jenis Kelamin</t>
  </si>
  <si>
    <t>Pekerjaan</t>
  </si>
  <si>
    <t>X</t>
  </si>
  <si>
    <t>Y</t>
  </si>
  <si>
    <t>Z1</t>
  </si>
  <si>
    <t>Z2</t>
  </si>
  <si>
    <t>Z3</t>
  </si>
  <si>
    <t>Z</t>
  </si>
  <si>
    <t>Total</t>
  </si>
  <si>
    <t>20 - 29 Tahun</t>
  </si>
  <si>
    <t>Perempuan</t>
  </si>
  <si>
    <t>Pelajar/Mahasiswa</t>
  </si>
  <si>
    <t>30 - 39 Tahun</t>
  </si>
  <si>
    <t>Ibu Rumah Tangga</t>
  </si>
  <si>
    <t>&lt;20 Tahun</t>
  </si>
  <si>
    <t>Laki-Laki</t>
  </si>
  <si>
    <t>Karyawan Swasta</t>
  </si>
  <si>
    <t>Karakteristik Keterangan Responden</t>
  </si>
  <si>
    <t>Coding</t>
  </si>
  <si>
    <t>Wirausaha</t>
  </si>
  <si>
    <t>40 - 49 Tahun</t>
  </si>
  <si>
    <t>≥50 Tahun</t>
  </si>
  <si>
    <t>Laki-laki</t>
  </si>
  <si>
    <t>Pegawai Negeri Sipil (PNS)</t>
  </si>
  <si>
    <t>Variabel Pertanyaan</t>
  </si>
  <si>
    <t>Kemudahan</t>
  </si>
  <si>
    <t>Aplikasi ini memiliki tampilan yang sederhana dan mudah dipahami</t>
  </si>
  <si>
    <t>Keamanan</t>
  </si>
  <si>
    <t>Saya merasa yakin bahwa data pribadi saya dalam aplikasi ini aman</t>
  </si>
  <si>
    <t>Kepuasan (Fitur)</t>
  </si>
  <si>
    <t>Fitur-fitur yang tersedia di dalam aplikasi ini telah memenuhi kebutuhan saya dalam membayar pajak kendaraan</t>
  </si>
  <si>
    <t>Saya merasa puas dengan pengalaman saya menggunakan aplikasi ini</t>
  </si>
  <si>
    <t>Saya bersedia merekomendasikan aplikasi ini kepada orang lain</t>
  </si>
  <si>
    <t>Uji Cronbach</t>
  </si>
  <si>
    <t>Jika nilai Cronbach Alpha &gt; 0,60 : Reliabel</t>
  </si>
  <si>
    <t>Jika nilai Cronbach Alpha &lt; 0,60 : Tidak Reliabel</t>
  </si>
  <si>
    <t>Varians Total</t>
  </si>
  <si>
    <t>Varians Butir</t>
  </si>
  <si>
    <t>Nilai Cronbach Alpha</t>
  </si>
  <si>
    <t>Standar</t>
  </si>
  <si>
    <t>Keterangan</t>
  </si>
  <si>
    <t>Reliabel</t>
  </si>
  <si>
    <t>Statistik Deskriptif</t>
  </si>
  <si>
    <t>Mean</t>
  </si>
  <si>
    <t>Standard Error</t>
  </si>
  <si>
    <t>Median</t>
  </si>
  <si>
    <t>Mode</t>
  </si>
  <si>
    <t>Standard Deviation</t>
  </si>
  <si>
    <t>Sample Variance</t>
  </si>
  <si>
    <t>Kurtosis</t>
  </si>
  <si>
    <t>Skewness</t>
  </si>
  <si>
    <t>Range</t>
  </si>
  <si>
    <t>Minimum</t>
  </si>
  <si>
    <t>Maximum</t>
  </si>
  <si>
    <t>Sum</t>
  </si>
  <si>
    <t>Count</t>
  </si>
  <si>
    <t>Timestamp</t>
  </si>
  <si>
    <t>Apa yang bisa diperbaiki agar aplikasi ini lebih mudah digunakan?</t>
  </si>
  <si>
    <t>Apakah ada bagian dalam aplikasi ini yang membuat Anda sedikit ragu terkait keamanan?</t>
  </si>
  <si>
    <t xml:space="preserve">Apakah ada fitur yang ingin Anda tingkatkan atau tambahkan di aplikasi ini?  </t>
  </si>
  <si>
    <t xml:space="preserve">Apakah ada hal dalam aplikasi ini yang menurut Anda kurang nyaman atau mengganggu?  </t>
  </si>
  <si>
    <t xml:space="preserve">Apa hal terbaik dari aplikasi ini yang menurut Anda harus dipertahankan atau ditingkatkan?  </t>
  </si>
  <si>
    <t>Apakah Anda pernah menggunakan aplikasi pajak kendaraan ini sebelumnya?</t>
  </si>
  <si>
    <t>Sejauh ini sudah cukup memuaskan</t>
  </si>
  <si>
    <t>Tidak ada</t>
  </si>
  <si>
    <t>-</t>
  </si>
  <si>
    <t>Saya tidak tahu</t>
  </si>
  <si>
    <t>Ya</t>
  </si>
  <si>
    <t>Ada</t>
  </si>
  <si>
    <t>Tidak</t>
  </si>
  <si>
    <t xml:space="preserve">Di tingkatkan </t>
  </si>
  <si>
    <t xml:space="preserve">tidak ada </t>
  </si>
  <si>
    <t xml:space="preserve">cara kerjanya </t>
  </si>
  <si>
    <t>Kelengkapan Pelayanannya</t>
  </si>
  <si>
    <t xml:space="preserve">Agar aplikasi pajak lebih mudah digunakan, perlu perbaikan pada antarmuka yang sederhana, panduan langkah demi langkah, automasi proses, dukungan bantuan yang cepat, serta sistem login yang aman dan praktis.
</t>
  </si>
  <si>
    <t xml:space="preserve">Beberapa hal yang bisa terasa kurang nyaman dalam aplikasi pajak kendaraan adalah antarmuka yang rumit, proses login yang berbelit, loading yang lambat, atau error saat memasukkan data.
</t>
  </si>
  <si>
    <t xml:space="preserve">
Fitur yang bisa ditingkatkan: pengingat otomatis, pembayaran online, simulasi pajak, riwayat pembayaran, dan scan STNK otomatis.
</t>
  </si>
  <si>
    <t xml:space="preserve">Hal yang mengganggu bisa berupa antarmuka rumit, navigasi sulit, proses panjang, error membingungkan, atau loading lama.
</t>
  </si>
  <si>
    <t>Hal terbaik dari aplikasi pajak yang perlu dipertahankan atau ditingkatkan biasanya adalah kemudahan penggunaan, kecepatan proses, akurasi perhitungan, serta fitur otomatisasi yang mengurangi beban pengguna. Jika ada layanan bantuan yang responsif atau integrasi dengan sistem lain, itu juga layak untuk diperkuat.</t>
  </si>
  <si>
    <t>tidak ada,semuanya sudah baik</t>
  </si>
  <si>
    <t>tidak ada,saya merasa semua aman</t>
  </si>
  <si>
    <t>sepeetinya fitur fiturnya sudah cukup</t>
  </si>
  <si>
    <t>tidak ada</t>
  </si>
  <si>
    <t>Proses pembayaran yg cepat dan tepat, pengingat pajak jatuh tempo, dan kemudahan dalam penggunaan aplikasi pajak</t>
  </si>
  <si>
    <t>sudah cukup</t>
  </si>
  <si>
    <t>tidak</t>
  </si>
  <si>
    <t>saat ini belum ada</t>
  </si>
  <si>
    <t>semuanya sudah cukup bagus, tetap pertahankan</t>
  </si>
  <si>
    <t>Desain antarmuka sebaiknya dibuat lebih simpel dan mudah dipahami agar pengguna baru tidak kesulitan.</t>
  </si>
  <si>
    <t>Penyimpanan data pribadi, seperti NIK dan nomor kendaraan, sebaiknya lebih terjamin keamanannya.</t>
  </si>
  <si>
    <t>Riwayat pembayaran yang lebih lengkap, termasuk status pembayaran pajak sebelumnya.</t>
  </si>
  <si>
    <t>Iklan yang muncul tiba-tiba terkadang mengganggu saat mengakses informasi pajak.</t>
  </si>
  <si>
    <t>Kemudahan dalam pembayaran pajak secara online tanpa harus datang ke kantor Samsat.</t>
  </si>
  <si>
    <t>Navigasi menu sebaiknya lebih jelas dan mudah diakses, terutama untuk fitur pembayaran.</t>
  </si>
  <si>
    <t>Proses login sebaiknya menggunakan autentikasi dua faktor (2FA) sehingga lebih aman.</t>
  </si>
  <si>
    <t>Fitur pengingat otomatis agar pengguna tidak lupa membayar pajak kendaraan.</t>
  </si>
  <si>
    <t>Proses login yang terlalu sering membuat pengguna harus memasukkan data berulang kali.</t>
  </si>
  <si>
    <t>Tampilan informasi pajak yang cukup jelas, sehingga pengguna bisa mengetahui besaran pajak dengan cepat.</t>
  </si>
  <si>
    <t>Kecepatan aplikasi masih perlu ditingkatkan, terutama saat memuat data kendaraan.</t>
  </si>
  <si>
    <t>Notifikasi transaksi perlu diperjelas agar pengguna yakin bahwa pembayaran telah berhasil.</t>
  </si>
  <si>
    <t>Opsi pembayaran lebih fleksibel, seperti melalui dompet digital dan QRIS.</t>
  </si>
  <si>
    <t>Tampilan aplikasi terasa terlalu ramai, sebaiknya lebih minimalis agar mudah digunakan.</t>
  </si>
  <si>
    <t>Integrasi dengan sistem kependudukan yang memungkinkan data kendaraan tetap akurat.</t>
  </si>
  <si>
    <t>Fitur pencarian perlu lebih akurat agar pengguna dapat menemukan informasi dengan cepat.</t>
  </si>
  <si>
    <t>Tampilan informasi pajak sebaiknya tidak langsung menampilkan data sensitif di halaman utama.</t>
  </si>
  <si>
    <t>Live chat dengan CS untuk membantu jika ada kendala dalam pembayaran.</t>
  </si>
  <si>
    <t>Waktu loading yang cukup lama, terutama saat mengecek data kendaraan.</t>
  </si>
  <si>
    <t>Keamanan transaksi yang sudah cukup baik, tetapi tetap bisa ditingkatkan lebih lanjut.</t>
  </si>
  <si>
    <t>Integrasi dengan e-wallet lebih banyak akan mempermudah proses pembayaran pajak.</t>
  </si>
  <si>
    <t>Keamanan pembayaran perlu transparansi lebih, misalnya dengan menampilkan rincian transaksi yang lebih jelas.</t>
  </si>
  <si>
    <t>Simulasi perhitungan pajak agar pengguna dapat mengetahui perkiraan biaya sebelum jatuh tempo.</t>
  </si>
  <si>
    <t>Notifikasi yang kurang jelas, terkadang sulit membedakan notifikasi penting dan sekunder.</t>
  </si>
  <si>
    <t>Aksesibilitas yang fleksibel, memungkinkan pengguna mengurus pajak kendaraan kapan saja tanpa harus mengantre.</t>
  </si>
  <si>
    <t>Desain ikon dan tombol yang lebih besar serta jelas agar mempermudah navigasi, terutama bagi pengguna yang kurang familiar dengan teknologi.</t>
  </si>
  <si>
    <t>Notifikasi konfirmasi melalui email atau SMS setelah transaksi diperlukan agar pengguna yakin pembayaran mereka telah berhasil diproses.</t>
  </si>
  <si>
    <t>Pemindaian otomatis STNK menggunakan kamera agar pengguna tidak perlu memasukkan data kendaraan secara manual.</t>
  </si>
  <si>
    <t>Proses pembayaran yang terlalu panjang, sehingga pengguna harus melewati banyak langkah sebelum transaksi selesai.</t>
  </si>
  <si>
    <t>Kemudahan mengecek status pajak kendaraan tanpa perlu datang langsung ke kantor Samsat.</t>
  </si>
  <si>
    <t>Proses pembuatan akun yang lebih sederhana supaya pengguna baru tidak mengalami kesulitan saat pertama kali mengakses aplikasi.</t>
  </si>
  <si>
    <t>Tampilan kebijakan privasi yang lebih jelas sehingga pengguna dapat memahami bagaimana data mereka dikumpulkan dan digunakan.</t>
  </si>
  <si>
    <t>Cek pajak kendaraan berdasarkan nomor plat tanpa login sehingga pengguna bisa langsung mengetahui estimasi pajak dengan lebih praktis.</t>
  </si>
  <si>
    <t>Sesi login yang terlalu singkat, sehingga pengguna sering kali harus masuk kembali ke akun mereka dalam waktu yang relatif cepat.</t>
  </si>
  <si>
    <t>Proses transaksi yang cepat dan efisien, memungkinkan pembayaran pajak dalam hitungan menit.</t>
  </si>
  <si>
    <t>Panduan interaktif dalam bentuk tutorial atau FAQ untuk membantu pengguna memahami fitur-fitur aplikasi dengan lebih cepat.</t>
  </si>
  <si>
    <t>Keamanan dalam proses pengisian data kartu pembayaran harus diperkuat dengan enkripsi atau tanda keamanan yang menunjukkan bahwa transaksi dilakukan dengan aman.</t>
  </si>
  <si>
    <t>Sistem ulasan dan rating pengguna agar pengembang aplikasi bisa mengetahui pengalaman serta masukan dari pengguna.</t>
  </si>
  <si>
    <t>Tampilan notifikasi yang tidak teratur, membuat pengguna sulit membedakan informasi penting dan yang kurang relevan.</t>
  </si>
  <si>
    <t>Akurasi data kendaraan yang tinggi, dengan informasi yang selalu diperbarui sesuai data resmi.</t>
  </si>
  <si>
    <t>Penambahan mode malam (dark mode) guna meningkatkan kenyamanan pengguna, terutama saat mengakses aplikasi di malam hari.</t>
  </si>
  <si>
    <t>Fitur penghapusan otomatis data pribadi setelah periode tertentu dapat meningkatkan rasa aman pengguna dalam menggunakan aplikasi.</t>
  </si>
  <si>
    <t>Dukungan berbagai pilihan bahasa, terutama untuk daerah tertentu yang lebih nyaman menggunakan bahasa lokal.</t>
  </si>
  <si>
    <t>Kurangnya transparansi mengenai denda keterlambatan pembayaran pajak, sebaiknya ada simulasi otomatis untuk menunjukkan besaran denda.</t>
  </si>
  <si>
    <t>Fitur pengingat jatuh tempo pajak, yang membantu pengguna agar tidak terlambat dalam membayar kewajiban pajaknya.</t>
  </si>
  <si>
    <t>Kemampuan menyimpan data kendaraan lebih dari satu akan sangat membantu bagi pengguna yang memiliki lebih dari satu kendaraan.</t>
  </si>
  <si>
    <t>Notifikasi masuk dari perangkat yang tidak dikenal bisa ditambahkan agar pengguna tahu jika ada upaya login yang mencurigakan.</t>
  </si>
  <si>
    <t>Fitur integrasi dengan aplikasi navigasi seperti Google Maps atau Waze untuk menunjukkan lokasi kantor pajak terdekat jika diperlukan.</t>
  </si>
  <si>
    <t>Beberapa fitur hanya bisa diakses dengan koneksi internet yang stabil, aplikasi sebaiknya tetap bisa digunakan dalam mode offline untuk melihat riwayat transaksi.</t>
  </si>
  <si>
    <t>Dukungan terhadap berbagai metode pembayaran, yang memudahkan pengguna dalam menyelesaikan transaksi sesuai preferensi mereka.</t>
  </si>
  <si>
    <t xml:space="preserve">Desain antarmuka sudah cukup intuitif, namun bisa lebih optimal dengan tampilan yang lebih modern dan menarik.
</t>
  </si>
  <si>
    <t xml:space="preserve">
Sistem keamanannya sudah cukup baik, tetapi akan lebih meyakinkan jika ada opsi autentikasi dua faktor.</t>
  </si>
  <si>
    <t>Aplikasi ini sangat membantu, tetapi akan lebih praktis jika ada pengingat pembayaran pajak melalui WhatsApp atau email.</t>
  </si>
  <si>
    <t>Secara keseluruhan, aplikasi ini cukup nyaman digunakan, hanya perlu sedikit peningkatan dalam kecepatan akses data.</t>
  </si>
  <si>
    <t>Kemudahan dalam membayar pajak kendaraan tanpa harus datang langsung ke kantor pajak adalah fitur unggulan yang patut dipertahankan.</t>
  </si>
  <si>
    <t>Navigasi sudah cukup baik, tetapi akan lebih praktis jika ada fitur "Favorit" untuk menyimpan menu yang sering digunakan.</t>
  </si>
  <si>
    <t>Transaksi pembayaran berjalan dengan lancar, namun keamanan dapat ditingkatkan dengan notifikasi konfirmasi sebelum transaksi dilakukan.</t>
  </si>
  <si>
    <t>Proses pembayaran cukup mudah, tetapi bisa lebih fleksibel dengan menambahkan lebih banyak metode pembayaran digital.</t>
  </si>
  <si>
    <t>Navigasi aplikasi sudah memudahkan pengguna, tetapi akan lebih praktis jika ada tombol pintas untuk fitur utama di halaman depan.</t>
  </si>
  <si>
    <t xml:space="preserve">Keakuratan informasi pajak sangat membantu pengguna dalam merencanakan pembayaran secara tepat waktu.
</t>
  </si>
  <si>
    <t>Aplikasi cukup responsif, namun masih bisa ditingkatkan agar pemrosesan data berjalan lebih cepat.</t>
  </si>
  <si>
    <t>Informasi pribadi pengguna sudah dikelola dengan baik, tetapi transparansi dalam pengelolaan data bisa lebih ditingkatkan.</t>
  </si>
  <si>
    <t xml:space="preserve">sudah bagus
</t>
  </si>
  <si>
    <t>Proses login cukup aman dan mudah, namun menambahkan opsi login dengan sidik jari atau face ID akan membuatnya lebih praktis.</t>
  </si>
  <si>
    <t>Beragam metode pembayaran yang tersedia membuat transaksi lebih praktis dan fleksibel.</t>
  </si>
  <si>
    <t>Pengisian data sudah efisien, tetapi akan lebih praktis jika ada fitur autofill untuk memudahkan pengguna.</t>
  </si>
  <si>
    <t>Aplikasi memberikan rasa aman saat digunakan, tetapi indikator keamanan saat login bisa membuat pengguna lebih percaya diri.</t>
  </si>
  <si>
    <t xml:space="preserve">Tampilan aplikasi cukup nyaman digunakan, tetapi memberikan opsi tema yang dapat disesuaikan akan meningkatkan pengalaman pengguna.
</t>
  </si>
  <si>
    <t xml:space="preserve">Ukuran aplikasi cukup ringan, tetapi jika bisa lebih dioptimalkan agar lebih hemat penyimpanan, tentu akan lebih baik.
</t>
  </si>
  <si>
    <t xml:space="preserve">Aplikasi ini mempermudah akses informasi pajak kendaraan dengan cepat dan efisien, sehingga sangat membantu pengguna.
</t>
  </si>
  <si>
    <t xml:space="preserve">Fitur pencarian sangat membantu, namun bisa lebih baik lagi jika hasil pencarian ditampilkan lebih cepat dan akurat.
</t>
  </si>
  <si>
    <t xml:space="preserve">Riwayat transaksi sudah tersimpan dengan baik, namun bisa lebih aman jika ada opsi enkripsi tambahan untuk melindungi data pengguna.
</t>
  </si>
  <si>
    <t xml:space="preserve">Riwayat transaksi sangat berguna, namun akan lebih baik jika pengguna bisa mengunduh atau mengekspor data ke format PDF atau Excel.
</t>
  </si>
  <si>
    <t xml:space="preserve">Tampilan informasi sangat jelas dan mudah dipahami, namun akan lebih menarik jika ada tambahan elemen visual seperti grafik atau ikon interaktif.
</t>
  </si>
  <si>
    <t xml:space="preserve">Dukungan layanan pelanggan yang responsif menjadi keunggulan yang perlu terus ditingkatkan agar pengguna semakin nyaman.
</t>
  </si>
  <si>
    <t>Desain antarmuka bisa lebih modern.</t>
  </si>
  <si>
    <t>sudah cukup bagus</t>
  </si>
  <si>
    <t>Pengingat pajak via WhatsApp/email.</t>
  </si>
  <si>
    <t xml:space="preserve">Akses data bisa lebih cepat.
</t>
  </si>
  <si>
    <t xml:space="preserve">Mudah membayar pajak tanpa datang langsung.
</t>
  </si>
  <si>
    <t xml:space="preserve">Navigasi lebih praktis dengan fitur "Favorit."
</t>
  </si>
  <si>
    <t xml:space="preserve">Konfirmasi sebelum transaksi pembayaran.
</t>
  </si>
  <si>
    <t xml:space="preserve">Tambah metode pembayaran digital.
</t>
  </si>
  <si>
    <t xml:space="preserve">Tambahkan tombol pintas ke fitur utama.
</t>
  </si>
  <si>
    <t xml:space="preserve">Informasi pajak akurat dan jelas.
</t>
  </si>
  <si>
    <t xml:space="preserve">Kecepatan akses data ditingkatkan
</t>
  </si>
  <si>
    <t>Kelola izin akses data lebih transparan</t>
  </si>
  <si>
    <t>Simulasi pajak tahun berikutnya</t>
  </si>
  <si>
    <t>Login dengan sidik jari/Face ID</t>
  </si>
  <si>
    <t>Banyak pilihan metode pembayaran</t>
  </si>
  <si>
    <t>Tambahkan autofill untuk input data</t>
  </si>
  <si>
    <t xml:space="preserve">Tampilkan indikator keamanan saat login
</t>
  </si>
  <si>
    <t>Opsi tema tampilan yang bisa disesuaikan</t>
  </si>
  <si>
    <t>Aplikasi lebih dioptimalkan agar ringan</t>
  </si>
  <si>
    <t>Akses informasi cepat dan efisien</t>
  </si>
  <si>
    <t>Pencarian lebih cepat dan akurat</t>
  </si>
  <si>
    <t>Enkripsi tambahan untuk riwayat transaksi</t>
  </si>
  <si>
    <t>Ekspor riwayat transaksi ke PDF/Excel</t>
  </si>
  <si>
    <t>Tambahkan elemen visual seperti grafik</t>
  </si>
  <si>
    <t>Layanan pelanggan responsif dan membantu</t>
  </si>
  <si>
    <t xml:space="preserve">Kondisi aplikasi untuk data pemerintahan rentang bocor belakangan ini. </t>
  </si>
  <si>
    <t>Tampilang yang eye catching</t>
  </si>
  <si>
    <t>Tidak,untuk kemanan sudah cukup aman</t>
  </si>
  <si>
    <t>Tampilan lebih dipermudah agar mudah dipahami bagi kalangan orang tua</t>
  </si>
  <si>
    <t>Ketika sedang dalam kendala system (bug)</t>
  </si>
  <si>
    <t>Mudah dipahami bagi kaum gen z</t>
  </si>
  <si>
    <t>Panduan interaktif dalam bentuk tutorial atau FAQ untuk membantu pengguna memahami fitur-fitur aplikasi dengan lebih cepat</t>
  </si>
  <si>
    <t>Keamanan dalam proses pengisian data kartu pembayaran harus diperkuat dengan enkripsi atau tanda keamanan yang menunjukkan bahwa transaksi dilakukan dengan aman</t>
  </si>
  <si>
    <t>Sistem ulasan dan rating pengguna agar pengembang aplikasi bisa mengetahui pengalaman serta masukan dari pengguna</t>
  </si>
  <si>
    <t>Tampilan notifikasi yang tidak teratur, membuat pengguna sulit membedakan informasi penting dan yang kurang relevan</t>
  </si>
  <si>
    <t>Proses transaksi yang cepat dan efisien, memungkinkan pembayaran pajak dalam hitungan menit</t>
  </si>
  <si>
    <t>Tambahkan panduan penggunaan singkat</t>
  </si>
  <si>
    <t>Beri notifikasi saat data diakses</t>
  </si>
  <si>
    <t>Live chat untuk layanan pelanggan</t>
  </si>
  <si>
    <t>Beberapa menu terasa kurang responsif</t>
  </si>
  <si>
    <t>Proses pembayaran pajak yang cepat</t>
  </si>
  <si>
    <t>Percepat loading saat membuka aplikasi</t>
  </si>
  <si>
    <t>Notifikasi pengingat jatuh tempo pajak</t>
  </si>
  <si>
    <t>Warna tampilan bisa lebih nyaman di mata</t>
  </si>
  <si>
    <t>Data kendaraan ditampilkan dengan jelas</t>
  </si>
  <si>
    <t>Tambahkan mode gelap untuk kenyamanan</t>
  </si>
  <si>
    <t>Perjelas kebijakan privasi pengguna</t>
  </si>
  <si>
    <t>Integrasi dengan e-wallet lebih banyak</t>
  </si>
  <si>
    <t>Kurangi jumlah pop-up yang muncul</t>
  </si>
  <si>
    <t>Selalu update dengan kebijakan terbaru</t>
  </si>
  <si>
    <t>sudah bagus</t>
  </si>
  <si>
    <t>Tambahkan opsi logout otomatis</t>
  </si>
  <si>
    <t>Simulasi perhitungan pajak kendaraan</t>
  </si>
  <si>
    <t>Tambahkan fitur edit data dengan mudah</t>
  </si>
  <si>
    <t>Tidak perlu antre untuk bayar pajak</t>
  </si>
  <si>
    <t xml:space="preserve">tidak ada yang perlu di perbaiki karena aplikasi ini sudah lebih mudah di gunakan </t>
  </si>
  <si>
    <t>ada</t>
  </si>
  <si>
    <t>Memiliki kebijakan privasi yang dapat ditemukan dan mudah dipahami</t>
  </si>
  <si>
    <t>untuk membuat aplikasi lebih mudah digunakan, fokus pada desain antarmuka yng sederhana, fitur pencarian yng efektif, panduan atau tutorial yng jelas, dan meningkatkan kecepatan serta responsivitas aplikasi.</t>
  </si>
  <si>
    <t>tidak, saya tidak dapat menilai secara langsung, tetapi jika aplikasi ini meminta data pribadi atau akses yng tidak relevan, itu bisa menimbulkan keraguan tentang keamanan nya. Pastikan ad enkripsi dan perlindungan data yng baik.</t>
  </si>
  <si>
    <t>mungkin penambahan fitur pengingat jatuh tempo pembayaran pajak atau integrasi dengan layanan pembayaran lain nya.</t>
  </si>
  <si>
    <t>mungkin antarmuka pengguna yang sedikit rumit atau waktu pemrosesan yng lama saat melakukan pembayaran.</t>
  </si>
  <si>
    <t>dipertahankan, karena kemudahan akses pembayaran dan pengecekan status pajak kendaraan sangat memudahkan pengguna lain nya.</t>
  </si>
  <si>
    <t>adanya tambahan opsi</t>
  </si>
  <si>
    <t>cukup, sudah diberikan diatas</t>
  </si>
  <si>
    <t xml:space="preserve">terus kembangkan dan buat semakin menarik </t>
  </si>
  <si>
    <t xml:space="preserve">Tambahkan fitur bantuan atau chatbot.
</t>
  </si>
  <si>
    <t>Pastikan aplikasi hanya meminta izin akses yang relevan.</t>
  </si>
  <si>
    <t xml:space="preserve">Fitur pemindaian QR code untuk pembayaran lebih cepat.
</t>
  </si>
  <si>
    <t xml:space="preserve">Beberapa fitur tersembunyi di dalam menu yang sulit ditemukan.
</t>
  </si>
  <si>
    <t xml:space="preserve">Kemudahan membayar pajak secara online tanpa antre.
</t>
  </si>
  <si>
    <t xml:space="preserve">Optimalkan kecepatan respon aplikasi.
</t>
  </si>
  <si>
    <t xml:space="preserve">Tambahkan opsi verifikasi transaksi dengan OTP.
</t>
  </si>
  <si>
    <t xml:space="preserve">Opsi pengingat otomatis untuk pajak tahunan.
</t>
  </si>
  <si>
    <t xml:space="preserve">Notifikasi terkadang muncul terlalu sering.
</t>
  </si>
  <si>
    <t xml:space="preserve">Informasi pajak kendaraan sangat jelas dan terstruktur.
</t>
  </si>
  <si>
    <t xml:space="preserve">Permudah akses ke riwayat transaksi.
</t>
  </si>
  <si>
    <t xml:space="preserve">Informasikan jika ada aktivitas login dari perangkat lain.
</t>
  </si>
  <si>
    <t xml:space="preserve">Integrasi dengan aplikasi e-banking lebih banyak.
</t>
  </si>
  <si>
    <t xml:space="preserve">Teks pada halaman pembayaran bisa diperjelas.
</t>
  </si>
  <si>
    <t xml:space="preserve">Aplikasi cukup stabil dan jarang mengalami gangguan.
</t>
  </si>
  <si>
    <t xml:space="preserve">Sesuaikan ukuran teks agar lebih jelas.
</t>
  </si>
  <si>
    <t xml:space="preserve">Beri opsi untuk menyembunyikan informasi sensitif.
</t>
  </si>
  <si>
    <t xml:space="preserve">Beberapa tombol kurang responsif saat diklik.
</t>
  </si>
  <si>
    <t xml:space="preserve">Tampilan sederhana sehingga mudah digunakan oleh semua kalangan.
</t>
  </si>
  <si>
    <t xml:space="preserve">Buat menu lebih ringkas dan intuitif.
</t>
  </si>
  <si>
    <t xml:space="preserve">Informasi pajak kendaraan sebaiknya ditampilkan lebih ringkas.
</t>
  </si>
  <si>
    <t xml:space="preserve">Metode pembayaran yang beragam dan fleksibel.
</t>
  </si>
  <si>
    <t xml:space="preserve">Tambahkan fitur pencarian di halaman utama.
</t>
  </si>
  <si>
    <t xml:space="preserve">Berikan opsi menghapus data akun dengan mudah.
</t>
  </si>
  <si>
    <t xml:space="preserve">Statistik pengeluaran pajak kendaraan secara tahunan.
</t>
  </si>
  <si>
    <t xml:space="preserve">Iklan atau pop-up bisa dikurangi agar tidak mengganggu.
</t>
  </si>
  <si>
    <t xml:space="preserve">Update aplikasi yang rutin untuk meningkatkan kualitas layanan.
</t>
  </si>
  <si>
    <t xml:space="preserve">Permudah proses login tanpa harus sering memasukkan data.
</t>
  </si>
  <si>
    <t xml:space="preserve">Tambahkan fitur logout otomatis setelah waktu tertentu.
</t>
  </si>
  <si>
    <t xml:space="preserve">Sistem notifikasi lebih fleksibel (email, SMS, WhatsApp).
</t>
  </si>
  <si>
    <t xml:space="preserve">Proses pemrosesan data bisa lebih cepat.
</t>
  </si>
  <si>
    <t xml:space="preserve">Data pengguna disimpan dengan baik dan aman.
</t>
  </si>
  <si>
    <t xml:space="preserve">Buat tampilan lebih adaptif untuk berbagai ukuran layar.
</t>
  </si>
  <si>
    <t xml:space="preserve">Pastikan tidak ada informasi pribadi yang tersimpan tanpa enkripsi.
</t>
  </si>
  <si>
    <t xml:space="preserve">Pengguna bisa membandingkan pajak kendaraan sebelum membelinya.
</t>
  </si>
  <si>
    <t xml:space="preserve">Pilihan bahasa bisa diperbanyak untuk aksesibilitas.
</t>
  </si>
  <si>
    <t xml:space="preserve">Fitur pencarian kendaraan berdasarkan plat nomor sangat membantu.
</t>
  </si>
  <si>
    <t xml:space="preserve">Integrasikan tutorial interaktif bagi pengguna baru.
</t>
  </si>
  <si>
    <t xml:space="preserve">Tampilkan indikator keamanan saat transaksi berlangsung.
</t>
  </si>
  <si>
    <t xml:space="preserve">Fitur kalkulator pajak berdasarkan wilayah dan jenis kendaraan.
</t>
  </si>
  <si>
    <t xml:space="preserve">Warna latar aplikasi bisa lebih netral untuk kenyamanan mata.
</t>
  </si>
  <si>
    <t xml:space="preserve">Waktu pemrosesan transaksi cukup cepat dan efisien.
</t>
  </si>
  <si>
    <t xml:space="preserve">Pastikan tombol navigasi selalu terlihat di setiap halaman.
</t>
  </si>
  <si>
    <t xml:space="preserve">Tambahkan opsi kontrol privasi yang lebih rinci.
</t>
  </si>
  <si>
    <t xml:space="preserve">Dashboard yang lebih interaktif dengan ringkasan informasi penting.
</t>
  </si>
  <si>
    <t xml:space="preserve">Beberapa fitur bisa dibuat lebih sederhana agar tidak membingungkan.
</t>
  </si>
  <si>
    <t xml:space="preserve">Layanan pelanggan cukup responsif dalam membantu pengguna.
</t>
  </si>
  <si>
    <t xml:space="preserve">Tambahkan fitur "Simpan Favorit" untuk kendaraan yang sering dicek.
</t>
  </si>
  <si>
    <t xml:space="preserve">Pastikan aplikasi tidak menyimpan data kartu pembayaran tanpa izin.
</t>
  </si>
  <si>
    <t xml:space="preserve">Mode keluarga agar bisa mengelola pajak beberapa kendaraan sekaligus.
</t>
  </si>
  <si>
    <t xml:space="preserve">Kadang butuh beberapa kali klik untuk sampai ke fitur utama.
</t>
  </si>
  <si>
    <t xml:space="preserve">Informasi pajak sangat transparan dan jelas.
</t>
  </si>
  <si>
    <t xml:space="preserve">Percepat proses verifikasi saat login.
</t>
  </si>
  <si>
    <t xml:space="preserve">Tambahkan opsi logout dari semua perangkat jika diperlukan.
</t>
  </si>
  <si>
    <t xml:space="preserve">Histori transaksi lebih rinci dengan status pembayaran.
</t>
  </si>
  <si>
    <t xml:space="preserve">Beberapa fitur memerlukan koneksi internet yang sangat stabil.
</t>
  </si>
  <si>
    <t xml:space="preserve">Bisa digunakan kapan saja tanpa harus datang ke kantor pajak.
</t>
  </si>
  <si>
    <t xml:space="preserve">Pastikan semua tombol memiliki label yang jelas.
</t>
  </si>
  <si>
    <t xml:space="preserve">Berikan notifikasi saat ada perubahan data akun.
</t>
  </si>
  <si>
    <t xml:space="preserve">Integrasi dengan aplikasi navigasi untuk mencari kantor pajak terdekat.
</t>
  </si>
  <si>
    <t xml:space="preserve">Loading awal aplikasi bisa lebih cepat.
</t>
  </si>
  <si>
    <t xml:space="preserve">Memudahkan masyarakat dalam mengurus pajak dengan efisien.
</t>
  </si>
  <si>
    <t xml:space="preserve">Tambahkan opsi pengaturan untuk mengubah tata letak menu.
</t>
  </si>
  <si>
    <t xml:space="preserve">Pastikan tidak ada tautan eksternal yang mencurigakan di aplikasi.
</t>
  </si>
  <si>
    <t xml:space="preserve">Live tracking status pembayaran setelah transaksi dilakukan.
</t>
  </si>
  <si>
    <t xml:space="preserve">Opsi kembali terkadang tidak langsung ke halaman sebelumnya.
</t>
  </si>
  <si>
    <t xml:space="preserve">Tersedia dalam berbagai platform, baik Android maupun iOS.
</t>
  </si>
  <si>
    <t xml:space="preserve">Gunakan ikon yang lebih informatif untuk memudahkan navigasi.
</t>
  </si>
  <si>
    <t xml:space="preserve">Tambahkan informasi detail tentang sistem keamanan aplikasi.
</t>
  </si>
  <si>
    <t xml:space="preserve">Opsi donasi langsung saat membayar pajak untuk kegiatan sosial.
</t>
  </si>
  <si>
    <t xml:space="preserve">Data pajak kendaraan sebaiknya lebih diperbarui secara real-time.
</t>
  </si>
  <si>
    <t xml:space="preserve">Mendukung transformasi digital dalam layanan publik.
</t>
  </si>
  <si>
    <t>X (Kemudahan)</t>
  </si>
  <si>
    <t>Y (Keamanan)</t>
  </si>
  <si>
    <t>Z (Kepuasan)</t>
  </si>
  <si>
    <t>Tugas Modul 2</t>
  </si>
  <si>
    <t>B-Data Science</t>
  </si>
  <si>
    <t>Nama:</t>
  </si>
  <si>
    <t>·       Stefani Tiara Nobel (B-1455)</t>
  </si>
  <si>
    <t>·       Syarifa Anastasya Putri (B-1446)</t>
  </si>
  <si>
    <t>·       Reza Fanysah (B-1453)</t>
  </si>
  <si>
    <t>·       Salman Hauzan (B-1454)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</si>
</sst>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13">
    <font>
      <sz val="11"/>
      <color theme="1"/>
      <name val="Calibri"/>
      <family val="2"/>
      <scheme val="minor"/>
    </font>
    <font>
      <b/>
      <sz val="10"/>
      <color rgb="FF000000"/>
      <name val="Calibri"/>
      <family val="2"/>
      <scheme val="minor"/>
    </font>
    <font>
      <b/>
      <sz val="10"/>
      <color theme="1"/>
      <name val="Calibri"/>
      <family val="2"/>
      <scheme val="minor"/>
    </font>
    <font>
      <sz val="10"/>
      <color rgb="FF000000"/>
      <name val="Calibri"/>
      <family val="2"/>
      <scheme val="minor"/>
    </font>
    <font>
      <sz val="10"/>
      <color theme="1"/>
      <name val="Calibri"/>
      <family val="2"/>
      <scheme val="minor"/>
    </font>
    <font>
      <sz val="10"/>
      <color rgb="FF000000"/>
      <name val="Arial Unicode MS"/>
    </font>
    <font>
      <sz val="10"/>
      <color rgb="FF202124"/>
      <name val="Calibri"/>
      <family val="2"/>
      <scheme val="minor"/>
    </font>
    <font>
      <i/>
      <sz val="10"/>
      <color rgb="FF000000"/>
      <name val="Calibri"/>
      <family val="2"/>
      <scheme val="minor"/>
    </font>
    <font>
      <i/>
      <sz val="11"/>
      <color theme="1"/>
      <name val="Calibri"/>
      <family val="2"/>
      <scheme val="minor"/>
    </font>
    <font>
      <b/>
      <sz val="12"/>
      <color theme="1"/>
      <name val="Times New Roman"/>
      <family val="1"/>
    </font>
    <font>
      <sz val="12"/>
      <color rgb="FF000000"/>
      <name val="Calibri"/>
      <family val="2"/>
      <scheme val="minor"/>
    </font>
    <font>
      <b/>
      <sz val="12"/>
      <color rgb="FF000000"/>
      <name val="Calibri"/>
      <family val="2"/>
      <scheme val="minor"/>
    </font>
    <font>
      <sz val="12"/>
      <color rgb="FF000000"/>
      <name val="Times New Roman"/>
      <family val="1"/>
    </font>
  </fonts>
  <fills count="6">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9"/>
        <bgColor indexed="64"/>
      </patternFill>
    </fill>
    <fill>
      <patternFill patternType="solid">
        <fgColor theme="6"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top style="medium">
        <color indexed="64"/>
      </top>
      <bottom style="thin">
        <color indexed="64"/>
      </bottom>
      <diagonal/>
    </border>
    <border>
      <left/>
      <right/>
      <top/>
      <bottom style="medium">
        <color indexed="64"/>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s>
  <cellStyleXfs count="1">
    <xf numFmtId="0" fontId="0" fillId="0" borderId="0"/>
  </cellStyleXfs>
  <cellXfs count="77">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0" borderId="0" xfId="0" applyFont="1" applyAlignment="1">
      <alignment horizontal="center" wrapText="1"/>
    </xf>
    <xf numFmtId="0" fontId="3" fillId="0" borderId="1" xfId="0" applyFont="1" applyBorder="1" applyAlignment="1">
      <alignment horizontal="center" vertical="center"/>
    </xf>
    <xf numFmtId="0" fontId="4" fillId="0" borderId="1" xfId="0" applyFont="1" applyBorder="1" applyAlignment="1">
      <alignment vertical="center"/>
    </xf>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3" fillId="0" borderId="0" xfId="0" applyFont="1"/>
    <xf numFmtId="0" fontId="3" fillId="0" borderId="0" xfId="0" applyFont="1" applyAlignment="1">
      <alignment horizontal="center"/>
    </xf>
    <xf numFmtId="0" fontId="1" fillId="5" borderId="1" xfId="0" applyFont="1" applyFill="1" applyBorder="1" applyAlignment="1">
      <alignment horizontal="center" vertical="center"/>
    </xf>
    <xf numFmtId="0" fontId="3" fillId="0" borderId="2" xfId="0" applyFont="1" applyBorder="1" applyAlignment="1">
      <alignment horizontal="center" vertical="center"/>
    </xf>
    <xf numFmtId="0" fontId="2" fillId="5" borderId="1" xfId="0" applyFont="1" applyFill="1" applyBorder="1" applyAlignment="1">
      <alignment horizontal="center" vertical="top"/>
    </xf>
    <xf numFmtId="0" fontId="3" fillId="0" borderId="8" xfId="0" applyFont="1" applyBorder="1"/>
    <xf numFmtId="0" fontId="1" fillId="5" borderId="1" xfId="0" applyFont="1" applyFill="1" applyBorder="1" applyAlignment="1">
      <alignment horizontal="center" vertical="top"/>
    </xf>
    <xf numFmtId="0" fontId="4" fillId="0" borderId="2" xfId="0" applyFont="1" applyBorder="1" applyAlignment="1">
      <alignment horizontal="center" vertical="center"/>
    </xf>
    <xf numFmtId="0" fontId="3" fillId="0" borderId="1" xfId="0" applyFont="1" applyBorder="1" applyAlignment="1">
      <alignment horizontal="center"/>
    </xf>
    <xf numFmtId="0" fontId="1" fillId="0" borderId="0" xfId="0" applyFont="1" applyAlignment="1">
      <alignment vertical="center"/>
    </xf>
    <xf numFmtId="0" fontId="3" fillId="0" borderId="0" xfId="0" applyFont="1" applyAlignment="1">
      <alignment vertical="center"/>
    </xf>
    <xf numFmtId="0" fontId="1" fillId="0" borderId="0" xfId="0" applyFont="1" applyAlignment="1">
      <alignment horizontal="center"/>
    </xf>
    <xf numFmtId="0" fontId="3" fillId="0" borderId="0" xfId="0" applyFont="1" applyAlignment="1">
      <alignment horizontal="center" wrapText="1"/>
    </xf>
    <xf numFmtId="0" fontId="7" fillId="0" borderId="9" xfId="0" applyFont="1" applyBorder="1" applyAlignment="1">
      <alignment horizontal="centerContinuous"/>
    </xf>
    <xf numFmtId="0" fontId="3" fillId="0" borderId="0" xfId="0" applyFont="1" applyAlignment="1">
      <alignment horizontal="center" vertical="center"/>
    </xf>
    <xf numFmtId="0" fontId="0" fillId="0" borderId="10" xfId="0" applyBorder="1"/>
    <xf numFmtId="0" fontId="4" fillId="0" borderId="11" xfId="0" applyFont="1" applyBorder="1" applyAlignment="1">
      <alignment horizontal="left" vertical="center"/>
    </xf>
    <xf numFmtId="0" fontId="4" fillId="0" borderId="12" xfId="0" applyFont="1" applyBorder="1" applyAlignment="1">
      <alignment horizontal="left" vertical="center"/>
    </xf>
    <xf numFmtId="0" fontId="4" fillId="0" borderId="13" xfId="0" applyFont="1" applyBorder="1" applyAlignment="1">
      <alignment horizontal="left" vertical="center"/>
    </xf>
    <xf numFmtId="164" fontId="4" fillId="0" borderId="14" xfId="0" applyNumberFormat="1" applyFont="1" applyBorder="1" applyAlignment="1">
      <alignment vertical="center"/>
    </xf>
    <xf numFmtId="0" fontId="4" fillId="0" borderId="15" xfId="0" applyFont="1" applyBorder="1" applyAlignment="1">
      <alignment vertical="center"/>
    </xf>
    <xf numFmtId="0" fontId="4" fillId="0" borderId="16" xfId="0" applyFont="1" applyBorder="1" applyAlignment="1">
      <alignment vertical="center"/>
    </xf>
    <xf numFmtId="164" fontId="4" fillId="0" borderId="17" xfId="0" applyNumberFormat="1" applyFont="1" applyBorder="1" applyAlignment="1">
      <alignment vertical="center"/>
    </xf>
    <xf numFmtId="0" fontId="4" fillId="0" borderId="18" xfId="0" applyFont="1" applyBorder="1" applyAlignment="1">
      <alignment vertical="center"/>
    </xf>
    <xf numFmtId="0" fontId="4" fillId="0" borderId="19" xfId="0" applyFont="1" applyBorder="1" applyAlignment="1">
      <alignment vertical="center"/>
    </xf>
    <xf numFmtId="164" fontId="4" fillId="0" borderId="20" xfId="0" applyNumberFormat="1" applyFont="1" applyBorder="1" applyAlignment="1">
      <alignment vertical="center"/>
    </xf>
    <xf numFmtId="0" fontId="4" fillId="0" borderId="21" xfId="0" applyFont="1" applyBorder="1" applyAlignment="1">
      <alignment vertical="center"/>
    </xf>
    <xf numFmtId="0" fontId="4" fillId="0" borderId="22" xfId="0" applyFont="1" applyBorder="1" applyAlignment="1">
      <alignment vertical="center"/>
    </xf>
    <xf numFmtId="0" fontId="8" fillId="0" borderId="9" xfId="0" applyFont="1" applyBorder="1" applyAlignment="1">
      <alignment horizontal="centerContinuous"/>
    </xf>
    <xf numFmtId="0" fontId="1" fillId="4" borderId="1" xfId="0" applyFont="1" applyFill="1" applyBorder="1" applyAlignment="1">
      <alignment horizontal="center" vertical="center"/>
    </xf>
    <xf numFmtId="0" fontId="3" fillId="0" borderId="1" xfId="0" applyFont="1" applyBorder="1" applyAlignment="1">
      <alignment vertical="center"/>
    </xf>
    <xf numFmtId="0" fontId="1" fillId="4" borderId="2" xfId="0" applyFont="1" applyFill="1" applyBorder="1" applyAlignment="1">
      <alignment horizontal="center"/>
    </xf>
    <xf numFmtId="0" fontId="3" fillId="4" borderId="3" xfId="0" applyFont="1" applyFill="1" applyBorder="1" applyAlignment="1">
      <alignment horizontal="center"/>
    </xf>
    <xf numFmtId="0" fontId="3" fillId="4" borderId="4" xfId="0" applyFont="1" applyFill="1" applyBorder="1" applyAlignment="1">
      <alignment horizontal="center"/>
    </xf>
    <xf numFmtId="0" fontId="1" fillId="5" borderId="2" xfId="0" applyFont="1" applyFill="1" applyBorder="1" applyAlignment="1">
      <alignment horizontal="center" vertical="center"/>
    </xf>
    <xf numFmtId="0" fontId="1" fillId="5" borderId="4" xfId="0" applyFont="1" applyFill="1" applyBorder="1" applyAlignment="1">
      <alignment horizontal="center" vertical="center"/>
    </xf>
    <xf numFmtId="0" fontId="1" fillId="5" borderId="3" xfId="0" applyFont="1" applyFill="1" applyBorder="1" applyAlignment="1">
      <alignment horizontal="center" vertical="center"/>
    </xf>
    <xf numFmtId="0" fontId="3" fillId="0" borderId="5" xfId="0" applyFont="1" applyBorder="1" applyAlignment="1">
      <alignment horizontal="center" vertical="top"/>
    </xf>
    <xf numFmtId="0" fontId="3" fillId="0" borderId="6" xfId="0" applyFont="1" applyBorder="1" applyAlignment="1">
      <alignment horizontal="center" vertical="top"/>
    </xf>
    <xf numFmtId="0" fontId="3" fillId="0" borderId="7" xfId="0" applyFont="1" applyBorder="1" applyAlignment="1">
      <alignment horizontal="center" vertical="top"/>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2" xfId="0" applyFont="1" applyBorder="1" applyAlignment="1">
      <alignment vertical="center"/>
    </xf>
    <xf numFmtId="0" fontId="3" fillId="0" borderId="3" xfId="0" applyFont="1" applyBorder="1" applyAlignment="1">
      <alignment vertical="center"/>
    </xf>
    <xf numFmtId="0" fontId="3" fillId="0" borderId="4" xfId="0" applyFont="1" applyBorder="1" applyAlignment="1">
      <alignment vertical="center"/>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6" fillId="0" borderId="2" xfId="0" applyFont="1" applyBorder="1" applyAlignment="1">
      <alignment vertical="center"/>
    </xf>
    <xf numFmtId="0" fontId="6" fillId="0" borderId="3" xfId="0" applyFont="1" applyBorder="1" applyAlignment="1">
      <alignment vertical="center"/>
    </xf>
    <xf numFmtId="0" fontId="6" fillId="0" borderId="4" xfId="0" applyFont="1" applyBorder="1" applyAlignment="1">
      <alignment vertic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4" fillId="0" borderId="5" xfId="0" applyFont="1" applyBorder="1" applyAlignment="1">
      <alignment horizontal="center" vertical="top"/>
    </xf>
    <xf numFmtId="0" fontId="4" fillId="0" borderId="7" xfId="0" applyFont="1" applyBorder="1" applyAlignment="1">
      <alignment horizontal="center" vertical="top"/>
    </xf>
    <xf numFmtId="0" fontId="4" fillId="0" borderId="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1" fillId="4" borderId="3" xfId="0" applyFont="1" applyFill="1" applyBorder="1" applyAlignment="1">
      <alignment horizontal="center"/>
    </xf>
    <xf numFmtId="0" fontId="1" fillId="4" borderId="4" xfId="0" applyFont="1" applyFill="1" applyBorder="1" applyAlignment="1">
      <alignment horizontal="center"/>
    </xf>
    <xf numFmtId="0" fontId="9" fillId="0" borderId="0" xfId="0" applyFont="1" applyAlignment="1">
      <alignment horizontal="left" vertical="top"/>
    </xf>
    <xf numFmtId="0" fontId="10" fillId="0" borderId="0" xfId="0" applyFont="1" applyAlignment="1">
      <alignment horizontal="left" vertical="top"/>
    </xf>
    <xf numFmtId="0" fontId="11" fillId="0" borderId="0" xfId="0" applyFont="1" applyAlignment="1">
      <alignment horizontal="left" vertical="top"/>
    </xf>
    <xf numFmtId="0" fontId="12" fillId="0" borderId="0" xfId="0" applyFont="1" applyAlignment="1">
      <alignment horizontal="left" vertical="top"/>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defaultTableStyle="TableStyleMedium2" defaultPivotStyle="PivotStyleLight16">
    <tableStyle name="Form Responses 1-style" pivot="0" count="3" xr9:uid="{C48B4F34-C4AC-4F55-B137-0A569DEA4371}">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25</xdr:col>
      <xdr:colOff>0</xdr:colOff>
      <xdr:row>34</xdr:row>
      <xdr:rowOff>0</xdr:rowOff>
    </xdr:from>
    <xdr:to>
      <xdr:col>29</xdr:col>
      <xdr:colOff>453413</xdr:colOff>
      <xdr:row>53</xdr:row>
      <xdr:rowOff>163560</xdr:rowOff>
    </xdr:to>
    <xdr:pic>
      <xdr:nvPicPr>
        <xdr:cNvPr id="2" name="Picture 1">
          <a:extLst>
            <a:ext uri="{FF2B5EF4-FFF2-40B4-BE49-F238E27FC236}">
              <a16:creationId xmlns:a16="http://schemas.microsoft.com/office/drawing/2014/main" id="{E8928472-538C-49E0-A0FD-2307CC4FBEF4}"/>
            </a:ext>
          </a:extLst>
        </xdr:cNvPr>
        <xdr:cNvPicPr>
          <a:picLocks noChangeAspect="1"/>
        </xdr:cNvPicPr>
      </xdr:nvPicPr>
      <xdr:blipFill rotWithShape="1">
        <a:blip xmlns:r="http://schemas.openxmlformats.org/officeDocument/2006/relationships" r:embed="rId1"/>
        <a:srcRect l="5430" r="7101"/>
        <a:stretch/>
      </xdr:blipFill>
      <xdr:spPr>
        <a:xfrm>
          <a:off x="19386742" y="4579697"/>
          <a:ext cx="3137731" cy="337704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3E1764-3F68-4FEA-83C1-4B2ACC464886}" name="Form_Responses1" displayName="Form_Responses1" ref="A1:O55" totalsRowCount="1">
  <tableColumns count="15">
    <tableColumn id="1" xr3:uid="{A72BB467-18C6-46A0-A49A-DD25B2DD9128}" name="Timestamp"/>
    <tableColumn id="2" xr3:uid="{19221178-6C8F-43D2-B34C-128379355086}" name="Usia"/>
    <tableColumn id="3" xr3:uid="{E2ED7059-F0AE-443F-B8A5-AFD120220C6A}" name="Jenis Kelamin"/>
    <tableColumn id="4" xr3:uid="{C5A3AA7D-0A08-4754-9EB4-3BC1370CF5C8}" name="Pekerjaan"/>
    <tableColumn id="5" xr3:uid="{5E1D7152-76C0-4745-96F3-9BE6487C4305}" name="Aplikasi ini memiliki tampilan yang sederhana dan mudah dipahami" totalsRowFunction="custom">
      <totalsRowFormula>SUM(Form_Responses1[Aplikasi ini memiliki tampilan yang sederhana dan mudah dipahami])</totalsRowFormula>
    </tableColumn>
    <tableColumn id="6" xr3:uid="{441F8FBA-FEC3-40F4-8CF9-B9584C7CE200}" name="Apa yang bisa diperbaiki agar aplikasi ini lebih mudah digunakan?"/>
    <tableColumn id="7" xr3:uid="{8404CAAD-DEED-4B67-826A-5EEE601D431A}" name="Saya merasa yakin bahwa data pribadi saya dalam aplikasi ini aman"/>
    <tableColumn id="8" xr3:uid="{193F22D2-AFCB-439E-823A-EAFCD918EF30}" name="Apakah ada bagian dalam aplikasi ini yang membuat Anda sedikit ragu terkait keamanan?"/>
    <tableColumn id="9" xr3:uid="{775FE709-41CA-4C58-A57B-46BF83EDFEF9}" name="Fitur-fitur yang tersedia di dalam aplikasi ini telah memenuhi kebutuhan saya dalam membayar pajak kendaraan"/>
    <tableColumn id="10" xr3:uid="{8B575778-DC70-4E3B-8B00-8BAA4FAA7DCB}" name="Apakah ada fitur yang ingin Anda tingkatkan atau tambahkan di aplikasi ini?  "/>
    <tableColumn id="11" xr3:uid="{CDF8ECC0-C731-4AAB-A71C-9CD464D19E29}" name="Saya merasa puas dengan pengalaman saya menggunakan aplikasi ini"/>
    <tableColumn id="12" xr3:uid="{C236366A-670F-4A93-A041-2FEC067E0319}" name="Apakah ada hal dalam aplikasi ini yang menurut Anda kurang nyaman atau mengganggu?  "/>
    <tableColumn id="13" xr3:uid="{DEDF7D71-B64F-4B9E-A44A-5A09E5943DE3}" name="Saya bersedia merekomendasikan aplikasi ini kepada orang lain"/>
    <tableColumn id="14" xr3:uid="{9818F86E-7F6B-47E5-A020-366F68239C9E}" name="Apa hal terbaik dari aplikasi ini yang menurut Anda harus dipertahankan atau ditingkatkan?  "/>
    <tableColumn id="15" xr3:uid="{1149E309-0F07-4CFB-843A-9174FD345EE0}" name="Apakah Anda pernah menggunakan aplikasi pajak kendaraan ini sebelumnya?"/>
  </tableColumns>
  <tableStyleInfo name="Form Responses 1-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72F4B-45BF-4C81-94E5-984ACDB92C7C}">
  <dimension ref="A1:O55"/>
  <sheetViews>
    <sheetView workbookViewId="0">
      <selection activeCell="E56" sqref="E56"/>
    </sheetView>
  </sheetViews>
  <sheetFormatPr defaultColWidth="12.6328125" defaultRowHeight="14.5"/>
  <cols>
    <col min="1" max="4" width="18.90625" customWidth="1"/>
    <col min="5" max="14" width="37.6328125" customWidth="1"/>
    <col min="15" max="21" width="18.90625" customWidth="1"/>
  </cols>
  <sheetData>
    <row r="1" spans="1:15" ht="15.75" customHeight="1">
      <c r="A1" s="26" t="s">
        <v>58</v>
      </c>
      <c r="B1" s="27" t="s">
        <v>1</v>
      </c>
      <c r="C1" s="27" t="s">
        <v>2</v>
      </c>
      <c r="D1" s="27" t="s">
        <v>3</v>
      </c>
      <c r="E1" s="27" t="s">
        <v>28</v>
      </c>
      <c r="F1" s="27" t="s">
        <v>59</v>
      </c>
      <c r="G1" s="27" t="s">
        <v>30</v>
      </c>
      <c r="H1" s="27" t="s">
        <v>60</v>
      </c>
      <c r="I1" s="27" t="s">
        <v>32</v>
      </c>
      <c r="J1" s="27" t="s">
        <v>61</v>
      </c>
      <c r="K1" s="27" t="s">
        <v>33</v>
      </c>
      <c r="L1" s="27" t="s">
        <v>62</v>
      </c>
      <c r="M1" s="27" t="s">
        <v>34</v>
      </c>
      <c r="N1" s="27" t="s">
        <v>63</v>
      </c>
      <c r="O1" s="28" t="s">
        <v>64</v>
      </c>
    </row>
    <row r="2" spans="1:15" ht="15.75" customHeight="1">
      <c r="A2" s="29">
        <v>45723.857899722221</v>
      </c>
      <c r="B2" s="30" t="s">
        <v>11</v>
      </c>
      <c r="C2" s="30" t="s">
        <v>12</v>
      </c>
      <c r="D2" s="30" t="s">
        <v>13</v>
      </c>
      <c r="E2" s="30">
        <v>4</v>
      </c>
      <c r="F2" s="30" t="s">
        <v>65</v>
      </c>
      <c r="G2" s="30">
        <v>5</v>
      </c>
      <c r="H2" s="30" t="s">
        <v>66</v>
      </c>
      <c r="I2" s="30">
        <v>4</v>
      </c>
      <c r="J2" s="30" t="s">
        <v>67</v>
      </c>
      <c r="K2" s="30">
        <v>5</v>
      </c>
      <c r="L2" s="30" t="s">
        <v>66</v>
      </c>
      <c r="M2" s="30">
        <v>3</v>
      </c>
      <c r="N2" s="30" t="s">
        <v>66</v>
      </c>
      <c r="O2" s="31"/>
    </row>
    <row r="3" spans="1:15" ht="15.75" customHeight="1">
      <c r="A3" s="32">
        <v>45723.863755833328</v>
      </c>
      <c r="B3" s="33" t="s">
        <v>14</v>
      </c>
      <c r="C3" s="33" t="s">
        <v>12</v>
      </c>
      <c r="D3" s="33" t="s">
        <v>15</v>
      </c>
      <c r="E3" s="33">
        <v>4</v>
      </c>
      <c r="F3" s="33" t="s">
        <v>68</v>
      </c>
      <c r="G3" s="33">
        <v>4</v>
      </c>
      <c r="H3" s="33" t="s">
        <v>69</v>
      </c>
      <c r="I3" s="33">
        <v>3</v>
      </c>
      <c r="J3" s="33" t="s">
        <v>70</v>
      </c>
      <c r="K3" s="33">
        <v>3</v>
      </c>
      <c r="L3" s="33" t="s">
        <v>71</v>
      </c>
      <c r="M3" s="33">
        <v>3</v>
      </c>
      <c r="N3" s="33" t="s">
        <v>72</v>
      </c>
      <c r="O3" s="34"/>
    </row>
    <row r="4" spans="1:15" ht="15.75" customHeight="1">
      <c r="A4" s="29">
        <v>45723.881916168983</v>
      </c>
      <c r="B4" s="30" t="s">
        <v>16</v>
      </c>
      <c r="C4" s="30" t="s">
        <v>12</v>
      </c>
      <c r="D4" s="30" t="s">
        <v>13</v>
      </c>
      <c r="E4" s="30">
        <v>4</v>
      </c>
      <c r="F4" s="30" t="s">
        <v>73</v>
      </c>
      <c r="G4" s="30">
        <v>4</v>
      </c>
      <c r="H4" s="30" t="s">
        <v>73</v>
      </c>
      <c r="I4" s="30">
        <v>5</v>
      </c>
      <c r="J4" s="30" t="s">
        <v>73</v>
      </c>
      <c r="K4" s="30">
        <v>5</v>
      </c>
      <c r="L4" s="30" t="s">
        <v>73</v>
      </c>
      <c r="M4" s="30">
        <v>4</v>
      </c>
      <c r="N4" s="30" t="s">
        <v>74</v>
      </c>
      <c r="O4" s="31"/>
    </row>
    <row r="5" spans="1:15" ht="15.75" customHeight="1">
      <c r="A5" s="32">
        <v>45723.91098724537</v>
      </c>
      <c r="B5" s="33" t="s">
        <v>11</v>
      </c>
      <c r="C5" s="33" t="s">
        <v>17</v>
      </c>
      <c r="D5" s="33" t="s">
        <v>18</v>
      </c>
      <c r="E5" s="33">
        <v>3</v>
      </c>
      <c r="F5" s="33" t="s">
        <v>67</v>
      </c>
      <c r="G5" s="33">
        <v>4</v>
      </c>
      <c r="H5" s="33" t="s">
        <v>67</v>
      </c>
      <c r="I5" s="33">
        <v>4</v>
      </c>
      <c r="J5" s="33" t="s">
        <v>67</v>
      </c>
      <c r="K5" s="33">
        <v>5</v>
      </c>
      <c r="L5" s="33" t="s">
        <v>67</v>
      </c>
      <c r="M5" s="33">
        <v>4</v>
      </c>
      <c r="N5" s="33" t="s">
        <v>75</v>
      </c>
      <c r="O5" s="34"/>
    </row>
    <row r="6" spans="1:15" ht="15.75" customHeight="1">
      <c r="A6" s="29">
        <v>45723.914050706022</v>
      </c>
      <c r="B6" s="30" t="s">
        <v>16</v>
      </c>
      <c r="C6" s="30" t="s">
        <v>12</v>
      </c>
      <c r="D6" s="30" t="s">
        <v>13</v>
      </c>
      <c r="E6" s="30">
        <v>4</v>
      </c>
      <c r="F6" s="30" t="s">
        <v>76</v>
      </c>
      <c r="G6" s="30">
        <v>4</v>
      </c>
      <c r="H6" s="30" t="s">
        <v>77</v>
      </c>
      <c r="I6" s="30">
        <v>4</v>
      </c>
      <c r="J6" s="30" t="s">
        <v>78</v>
      </c>
      <c r="K6" s="30">
        <v>4</v>
      </c>
      <c r="L6" s="30" t="s">
        <v>79</v>
      </c>
      <c r="M6" s="30">
        <v>3</v>
      </c>
      <c r="N6" s="30" t="s">
        <v>80</v>
      </c>
      <c r="O6" s="31"/>
    </row>
    <row r="7" spans="1:15" ht="15.75" customHeight="1">
      <c r="A7" s="32">
        <v>45723.932107523149</v>
      </c>
      <c r="B7" s="33" t="s">
        <v>16</v>
      </c>
      <c r="C7" s="33" t="s">
        <v>12</v>
      </c>
      <c r="D7" s="33" t="s">
        <v>13</v>
      </c>
      <c r="E7" s="33">
        <v>5</v>
      </c>
      <c r="F7" s="33" t="s">
        <v>81</v>
      </c>
      <c r="G7" s="33">
        <v>5</v>
      </c>
      <c r="H7" s="33" t="s">
        <v>82</v>
      </c>
      <c r="I7" s="33">
        <v>5</v>
      </c>
      <c r="J7" s="33" t="s">
        <v>83</v>
      </c>
      <c r="K7" s="33">
        <v>5</v>
      </c>
      <c r="L7" s="33" t="s">
        <v>84</v>
      </c>
      <c r="M7" s="33">
        <v>5</v>
      </c>
      <c r="N7" s="33" t="s">
        <v>85</v>
      </c>
      <c r="O7" s="34"/>
    </row>
    <row r="8" spans="1:15" ht="15.75" customHeight="1">
      <c r="A8" s="29">
        <v>45724.442147893518</v>
      </c>
      <c r="B8" s="30" t="s">
        <v>11</v>
      </c>
      <c r="C8" s="30" t="s">
        <v>12</v>
      </c>
      <c r="D8" s="30" t="s">
        <v>18</v>
      </c>
      <c r="E8" s="30">
        <v>5</v>
      </c>
      <c r="F8" s="30" t="s">
        <v>86</v>
      </c>
      <c r="G8" s="30">
        <v>5</v>
      </c>
      <c r="H8" s="30" t="s">
        <v>87</v>
      </c>
      <c r="I8" s="30">
        <v>5</v>
      </c>
      <c r="J8" s="30" t="s">
        <v>88</v>
      </c>
      <c r="K8" s="30">
        <v>5</v>
      </c>
      <c r="L8" s="30" t="s">
        <v>84</v>
      </c>
      <c r="M8" s="30">
        <v>5</v>
      </c>
      <c r="N8" s="30" t="s">
        <v>89</v>
      </c>
      <c r="O8" s="31"/>
    </row>
    <row r="9" spans="1:15" ht="15.75" customHeight="1">
      <c r="A9" s="32">
        <v>45724.450338449074</v>
      </c>
      <c r="B9" s="33" t="s">
        <v>16</v>
      </c>
      <c r="C9" s="33" t="s">
        <v>12</v>
      </c>
      <c r="D9" s="33" t="s">
        <v>13</v>
      </c>
      <c r="E9" s="33">
        <v>5</v>
      </c>
      <c r="F9" s="33" t="s">
        <v>90</v>
      </c>
      <c r="G9" s="33">
        <v>5</v>
      </c>
      <c r="H9" s="33" t="s">
        <v>91</v>
      </c>
      <c r="I9" s="33">
        <v>5</v>
      </c>
      <c r="J9" s="33" t="s">
        <v>92</v>
      </c>
      <c r="K9" s="33">
        <v>4</v>
      </c>
      <c r="L9" s="33" t="s">
        <v>93</v>
      </c>
      <c r="M9" s="33">
        <v>5</v>
      </c>
      <c r="N9" s="33" t="s">
        <v>94</v>
      </c>
      <c r="O9" s="34"/>
    </row>
    <row r="10" spans="1:15" ht="15.75" customHeight="1">
      <c r="A10" s="29">
        <v>45724.451344004628</v>
      </c>
      <c r="B10" s="30" t="s">
        <v>14</v>
      </c>
      <c r="C10" s="30" t="s">
        <v>17</v>
      </c>
      <c r="D10" s="30" t="s">
        <v>21</v>
      </c>
      <c r="E10" s="30">
        <v>5</v>
      </c>
      <c r="F10" s="30" t="s">
        <v>95</v>
      </c>
      <c r="G10" s="30">
        <v>5</v>
      </c>
      <c r="H10" s="30" t="s">
        <v>96</v>
      </c>
      <c r="I10" s="30">
        <v>5</v>
      </c>
      <c r="J10" s="30" t="s">
        <v>97</v>
      </c>
      <c r="K10" s="30">
        <v>4</v>
      </c>
      <c r="L10" s="30" t="s">
        <v>98</v>
      </c>
      <c r="M10" s="30">
        <v>5</v>
      </c>
      <c r="N10" s="30" t="s">
        <v>99</v>
      </c>
      <c r="O10" s="31"/>
    </row>
    <row r="11" spans="1:15" ht="15.75" customHeight="1">
      <c r="A11" s="32">
        <v>45724.452574745374</v>
      </c>
      <c r="B11" s="33" t="s">
        <v>14</v>
      </c>
      <c r="C11" s="33" t="s">
        <v>17</v>
      </c>
      <c r="D11" s="33" t="s">
        <v>18</v>
      </c>
      <c r="E11" s="33">
        <v>4</v>
      </c>
      <c r="F11" s="33" t="s">
        <v>100</v>
      </c>
      <c r="G11" s="33">
        <v>5</v>
      </c>
      <c r="H11" s="33" t="s">
        <v>101</v>
      </c>
      <c r="I11" s="33">
        <v>4</v>
      </c>
      <c r="J11" s="33" t="s">
        <v>102</v>
      </c>
      <c r="K11" s="33">
        <v>5</v>
      </c>
      <c r="L11" s="33" t="s">
        <v>103</v>
      </c>
      <c r="M11" s="33">
        <v>4</v>
      </c>
      <c r="N11" s="33" t="s">
        <v>104</v>
      </c>
      <c r="O11" s="34"/>
    </row>
    <row r="12" spans="1:15" ht="15.75" customHeight="1">
      <c r="A12" s="29">
        <v>45724.453284965275</v>
      </c>
      <c r="B12" s="30" t="s">
        <v>14</v>
      </c>
      <c r="C12" s="30" t="s">
        <v>12</v>
      </c>
      <c r="D12" s="30" t="s">
        <v>18</v>
      </c>
      <c r="E12" s="30">
        <v>5</v>
      </c>
      <c r="F12" s="30" t="s">
        <v>105</v>
      </c>
      <c r="G12" s="30">
        <v>5</v>
      </c>
      <c r="H12" s="30" t="s">
        <v>106</v>
      </c>
      <c r="I12" s="30">
        <v>5</v>
      </c>
      <c r="J12" s="30" t="s">
        <v>107</v>
      </c>
      <c r="K12" s="30">
        <v>5</v>
      </c>
      <c r="L12" s="30" t="s">
        <v>108</v>
      </c>
      <c r="M12" s="30">
        <v>5</v>
      </c>
      <c r="N12" s="30" t="s">
        <v>109</v>
      </c>
      <c r="O12" s="31"/>
    </row>
    <row r="13" spans="1:15" ht="15.75" customHeight="1">
      <c r="A13" s="32">
        <v>45724.454260254628</v>
      </c>
      <c r="B13" s="33" t="s">
        <v>23</v>
      </c>
      <c r="C13" s="33" t="s">
        <v>17</v>
      </c>
      <c r="D13" s="33" t="s">
        <v>21</v>
      </c>
      <c r="E13" s="33">
        <v>5</v>
      </c>
      <c r="F13" s="33" t="s">
        <v>110</v>
      </c>
      <c r="G13" s="33">
        <v>5</v>
      </c>
      <c r="H13" s="33" t="s">
        <v>111</v>
      </c>
      <c r="I13" s="33">
        <v>5</v>
      </c>
      <c r="J13" s="33" t="s">
        <v>112</v>
      </c>
      <c r="K13" s="33">
        <v>5</v>
      </c>
      <c r="L13" s="33" t="s">
        <v>113</v>
      </c>
      <c r="M13" s="33">
        <v>5</v>
      </c>
      <c r="N13" s="33" t="s">
        <v>114</v>
      </c>
      <c r="O13" s="34"/>
    </row>
    <row r="14" spans="1:15" ht="15.75" customHeight="1">
      <c r="A14" s="29">
        <v>45724.455624710652</v>
      </c>
      <c r="B14" s="30" t="s">
        <v>22</v>
      </c>
      <c r="C14" s="30" t="s">
        <v>12</v>
      </c>
      <c r="D14" s="30" t="s">
        <v>15</v>
      </c>
      <c r="E14" s="30">
        <v>5</v>
      </c>
      <c r="F14" s="30" t="s">
        <v>115</v>
      </c>
      <c r="G14" s="30">
        <v>5</v>
      </c>
      <c r="H14" s="30" t="s">
        <v>116</v>
      </c>
      <c r="I14" s="30">
        <v>5</v>
      </c>
      <c r="J14" s="30" t="s">
        <v>117</v>
      </c>
      <c r="K14" s="30">
        <v>5</v>
      </c>
      <c r="L14" s="30" t="s">
        <v>118</v>
      </c>
      <c r="M14" s="30">
        <v>5</v>
      </c>
      <c r="N14" s="30" t="s">
        <v>119</v>
      </c>
      <c r="O14" s="31"/>
    </row>
    <row r="15" spans="1:15" ht="15.75" customHeight="1">
      <c r="A15" s="32">
        <v>45724.45645135417</v>
      </c>
      <c r="B15" s="33" t="s">
        <v>23</v>
      </c>
      <c r="C15" s="33" t="s">
        <v>12</v>
      </c>
      <c r="D15" s="33" t="s">
        <v>15</v>
      </c>
      <c r="E15" s="33">
        <v>5</v>
      </c>
      <c r="F15" s="33" t="s">
        <v>120</v>
      </c>
      <c r="G15" s="33">
        <v>5</v>
      </c>
      <c r="H15" s="33" t="s">
        <v>121</v>
      </c>
      <c r="I15" s="33">
        <v>5</v>
      </c>
      <c r="J15" s="33" t="s">
        <v>122</v>
      </c>
      <c r="K15" s="33">
        <v>4</v>
      </c>
      <c r="L15" s="33" t="s">
        <v>123</v>
      </c>
      <c r="M15" s="33">
        <v>5</v>
      </c>
      <c r="N15" s="33" t="s">
        <v>124</v>
      </c>
      <c r="O15" s="34"/>
    </row>
    <row r="16" spans="1:15" ht="15.75" customHeight="1">
      <c r="A16" s="29">
        <v>45724.45736054398</v>
      </c>
      <c r="B16" s="30" t="s">
        <v>14</v>
      </c>
      <c r="C16" s="30" t="s">
        <v>17</v>
      </c>
      <c r="D16" s="30" t="s">
        <v>18</v>
      </c>
      <c r="E16" s="30">
        <v>5</v>
      </c>
      <c r="F16" s="30" t="s">
        <v>125</v>
      </c>
      <c r="G16" s="30">
        <v>5</v>
      </c>
      <c r="H16" s="30" t="s">
        <v>126</v>
      </c>
      <c r="I16" s="30">
        <v>5</v>
      </c>
      <c r="J16" s="30" t="s">
        <v>127</v>
      </c>
      <c r="K16" s="30">
        <v>5</v>
      </c>
      <c r="L16" s="30" t="s">
        <v>128</v>
      </c>
      <c r="M16" s="30">
        <v>5</v>
      </c>
      <c r="N16" s="30" t="s">
        <v>129</v>
      </c>
      <c r="O16" s="31"/>
    </row>
    <row r="17" spans="1:15" ht="15.75" customHeight="1">
      <c r="A17" s="32">
        <v>45724.45823971065</v>
      </c>
      <c r="B17" s="33" t="s">
        <v>14</v>
      </c>
      <c r="C17" s="33" t="s">
        <v>12</v>
      </c>
      <c r="D17" s="33" t="s">
        <v>21</v>
      </c>
      <c r="E17" s="33">
        <v>5</v>
      </c>
      <c r="F17" s="33" t="s">
        <v>130</v>
      </c>
      <c r="G17" s="33">
        <v>5</v>
      </c>
      <c r="H17" s="33" t="s">
        <v>131</v>
      </c>
      <c r="I17" s="33">
        <v>5</v>
      </c>
      <c r="J17" s="33" t="s">
        <v>132</v>
      </c>
      <c r="K17" s="33">
        <v>5</v>
      </c>
      <c r="L17" s="33" t="s">
        <v>133</v>
      </c>
      <c r="M17" s="33">
        <v>5</v>
      </c>
      <c r="N17" s="33" t="s">
        <v>134</v>
      </c>
      <c r="O17" s="34"/>
    </row>
    <row r="18" spans="1:15" ht="15.75" customHeight="1">
      <c r="A18" s="29">
        <v>45724.458930486115</v>
      </c>
      <c r="B18" s="30" t="s">
        <v>22</v>
      </c>
      <c r="C18" s="30" t="s">
        <v>17</v>
      </c>
      <c r="D18" s="30" t="s">
        <v>18</v>
      </c>
      <c r="E18" s="30">
        <v>5</v>
      </c>
      <c r="F18" s="30" t="s">
        <v>135</v>
      </c>
      <c r="G18" s="30">
        <v>5</v>
      </c>
      <c r="H18" s="30" t="s">
        <v>136</v>
      </c>
      <c r="I18" s="30">
        <v>5</v>
      </c>
      <c r="J18" s="30" t="s">
        <v>137</v>
      </c>
      <c r="K18" s="30">
        <v>5</v>
      </c>
      <c r="L18" s="30" t="s">
        <v>138</v>
      </c>
      <c r="M18" s="30">
        <v>5</v>
      </c>
      <c r="N18" s="30" t="s">
        <v>139</v>
      </c>
      <c r="O18" s="31"/>
    </row>
    <row r="19" spans="1:15" ht="15.75" customHeight="1">
      <c r="A19" s="32">
        <v>45724.471910856482</v>
      </c>
      <c r="B19" s="33" t="s">
        <v>14</v>
      </c>
      <c r="C19" s="33" t="s">
        <v>17</v>
      </c>
      <c r="D19" s="33" t="s">
        <v>18</v>
      </c>
      <c r="E19" s="33">
        <v>5</v>
      </c>
      <c r="F19" s="33" t="s">
        <v>140</v>
      </c>
      <c r="G19" s="33">
        <v>5</v>
      </c>
      <c r="H19" s="33" t="s">
        <v>141</v>
      </c>
      <c r="I19" s="33">
        <v>5</v>
      </c>
      <c r="J19" s="33" t="s">
        <v>142</v>
      </c>
      <c r="K19" s="33">
        <v>5</v>
      </c>
      <c r="L19" s="33" t="s">
        <v>143</v>
      </c>
      <c r="M19" s="33">
        <v>5</v>
      </c>
      <c r="N19" s="33" t="s">
        <v>144</v>
      </c>
      <c r="O19" s="34"/>
    </row>
    <row r="20" spans="1:15" ht="15.75" customHeight="1">
      <c r="A20" s="29">
        <v>45724.472711712966</v>
      </c>
      <c r="B20" s="30" t="s">
        <v>11</v>
      </c>
      <c r="C20" s="30" t="s">
        <v>17</v>
      </c>
      <c r="D20" s="30" t="s">
        <v>13</v>
      </c>
      <c r="E20" s="30">
        <v>5</v>
      </c>
      <c r="F20" s="30" t="s">
        <v>145</v>
      </c>
      <c r="G20" s="30">
        <v>5</v>
      </c>
      <c r="H20" s="30" t="s">
        <v>146</v>
      </c>
      <c r="I20" s="30">
        <v>5</v>
      </c>
      <c r="J20" s="30" t="s">
        <v>147</v>
      </c>
      <c r="K20" s="30">
        <v>5</v>
      </c>
      <c r="L20" s="30" t="s">
        <v>148</v>
      </c>
      <c r="M20" s="30">
        <v>5</v>
      </c>
      <c r="N20" s="30" t="s">
        <v>149</v>
      </c>
      <c r="O20" s="31"/>
    </row>
    <row r="21" spans="1:15" ht="15.75" customHeight="1">
      <c r="A21" s="32">
        <v>45724.473496851853</v>
      </c>
      <c r="B21" s="33" t="s">
        <v>14</v>
      </c>
      <c r="C21" s="33" t="s">
        <v>17</v>
      </c>
      <c r="D21" s="33" t="s">
        <v>21</v>
      </c>
      <c r="E21" s="33">
        <v>5</v>
      </c>
      <c r="F21" s="33" t="s">
        <v>150</v>
      </c>
      <c r="G21" s="33">
        <v>5</v>
      </c>
      <c r="H21" s="33" t="s">
        <v>151</v>
      </c>
      <c r="I21" s="33">
        <v>5</v>
      </c>
      <c r="J21" s="33" t="s">
        <v>152</v>
      </c>
      <c r="K21" s="33">
        <v>5</v>
      </c>
      <c r="L21" s="33" t="s">
        <v>153</v>
      </c>
      <c r="M21" s="33">
        <v>5</v>
      </c>
      <c r="N21" s="33" t="s">
        <v>154</v>
      </c>
      <c r="O21" s="34"/>
    </row>
    <row r="22" spans="1:15">
      <c r="A22" s="29">
        <v>45724.474362222223</v>
      </c>
      <c r="B22" s="30" t="s">
        <v>22</v>
      </c>
      <c r="C22" s="30" t="s">
        <v>17</v>
      </c>
      <c r="D22" s="30" t="s">
        <v>18</v>
      </c>
      <c r="E22" s="30">
        <v>5</v>
      </c>
      <c r="F22" s="30" t="s">
        <v>155</v>
      </c>
      <c r="G22" s="30">
        <v>5</v>
      </c>
      <c r="H22" s="30" t="s">
        <v>156</v>
      </c>
      <c r="I22" s="30">
        <v>5</v>
      </c>
      <c r="J22" s="30" t="s">
        <v>157</v>
      </c>
      <c r="K22" s="30">
        <v>5</v>
      </c>
      <c r="L22" s="30" t="s">
        <v>158</v>
      </c>
      <c r="M22" s="30">
        <v>5</v>
      </c>
      <c r="N22" s="30" t="s">
        <v>159</v>
      </c>
      <c r="O22" s="31"/>
    </row>
    <row r="23" spans="1:15">
      <c r="A23" s="32">
        <v>45724.47512614583</v>
      </c>
      <c r="B23" s="33" t="s">
        <v>22</v>
      </c>
      <c r="C23" s="33" t="s">
        <v>12</v>
      </c>
      <c r="D23" s="33" t="s">
        <v>18</v>
      </c>
      <c r="E23" s="33">
        <v>4</v>
      </c>
      <c r="F23" s="33" t="s">
        <v>160</v>
      </c>
      <c r="G23" s="33">
        <v>4</v>
      </c>
      <c r="H23" s="33" t="s">
        <v>161</v>
      </c>
      <c r="I23" s="33">
        <v>4</v>
      </c>
      <c r="J23" s="33" t="s">
        <v>162</v>
      </c>
      <c r="K23" s="33">
        <v>4</v>
      </c>
      <c r="L23" s="33" t="s">
        <v>163</v>
      </c>
      <c r="M23" s="33">
        <v>5</v>
      </c>
      <c r="N23" s="33" t="s">
        <v>164</v>
      </c>
      <c r="O23" s="34"/>
    </row>
    <row r="24" spans="1:15">
      <c r="A24" s="29">
        <v>45724.476180717596</v>
      </c>
      <c r="B24" s="30" t="s">
        <v>23</v>
      </c>
      <c r="C24" s="30" t="s">
        <v>17</v>
      </c>
      <c r="D24" s="30" t="s">
        <v>21</v>
      </c>
      <c r="E24" s="30">
        <v>5</v>
      </c>
      <c r="F24" s="30" t="s">
        <v>165</v>
      </c>
      <c r="G24" s="30">
        <v>5</v>
      </c>
      <c r="H24" s="30" t="s">
        <v>166</v>
      </c>
      <c r="I24" s="30">
        <v>5</v>
      </c>
      <c r="J24" s="30" t="s">
        <v>167</v>
      </c>
      <c r="K24" s="30">
        <v>5</v>
      </c>
      <c r="L24" s="30" t="s">
        <v>168</v>
      </c>
      <c r="M24" s="30">
        <v>5</v>
      </c>
      <c r="N24" s="30" t="s">
        <v>169</v>
      </c>
      <c r="O24" s="31"/>
    </row>
    <row r="25" spans="1:15">
      <c r="A25" s="32">
        <v>45724.476718541671</v>
      </c>
      <c r="B25" s="33" t="s">
        <v>22</v>
      </c>
      <c r="C25" s="33" t="s">
        <v>12</v>
      </c>
      <c r="D25" s="33" t="s">
        <v>15</v>
      </c>
      <c r="E25" s="33">
        <v>5</v>
      </c>
      <c r="F25" s="33" t="s">
        <v>170</v>
      </c>
      <c r="G25" s="33">
        <v>5</v>
      </c>
      <c r="H25" s="33" t="s">
        <v>171</v>
      </c>
      <c r="I25" s="33">
        <v>5</v>
      </c>
      <c r="J25" s="33" t="s">
        <v>172</v>
      </c>
      <c r="K25" s="33">
        <v>5</v>
      </c>
      <c r="L25" s="33" t="s">
        <v>173</v>
      </c>
      <c r="M25" s="33">
        <v>5</v>
      </c>
      <c r="N25" s="33" t="s">
        <v>174</v>
      </c>
      <c r="O25" s="34"/>
    </row>
    <row r="26" spans="1:15">
      <c r="A26" s="29">
        <v>45724.47837217593</v>
      </c>
      <c r="B26" s="30" t="s">
        <v>22</v>
      </c>
      <c r="C26" s="30" t="s">
        <v>12</v>
      </c>
      <c r="D26" s="30" t="s">
        <v>18</v>
      </c>
      <c r="E26" s="30">
        <v>5</v>
      </c>
      <c r="F26" s="30" t="s">
        <v>175</v>
      </c>
      <c r="G26" s="30">
        <v>5</v>
      </c>
      <c r="H26" s="30" t="s">
        <v>176</v>
      </c>
      <c r="I26" s="30">
        <v>5</v>
      </c>
      <c r="J26" s="30" t="s">
        <v>177</v>
      </c>
      <c r="K26" s="30">
        <v>4</v>
      </c>
      <c r="L26" s="30" t="s">
        <v>178</v>
      </c>
      <c r="M26" s="30">
        <v>5</v>
      </c>
      <c r="N26" s="30" t="s">
        <v>179</v>
      </c>
      <c r="O26" s="31"/>
    </row>
    <row r="27" spans="1:15">
      <c r="A27" s="32">
        <v>45724.479154525463</v>
      </c>
      <c r="B27" s="33" t="s">
        <v>14</v>
      </c>
      <c r="C27" s="33" t="s">
        <v>12</v>
      </c>
      <c r="D27" s="33" t="s">
        <v>18</v>
      </c>
      <c r="E27" s="33">
        <v>4</v>
      </c>
      <c r="F27" s="33" t="s">
        <v>180</v>
      </c>
      <c r="G27" s="33">
        <v>5</v>
      </c>
      <c r="H27" s="33" t="s">
        <v>181</v>
      </c>
      <c r="I27" s="33">
        <v>5</v>
      </c>
      <c r="J27" s="33" t="s">
        <v>182</v>
      </c>
      <c r="K27" s="33">
        <v>5</v>
      </c>
      <c r="L27" s="33" t="s">
        <v>183</v>
      </c>
      <c r="M27" s="33">
        <v>5</v>
      </c>
      <c r="N27" s="33" t="s">
        <v>184</v>
      </c>
      <c r="O27" s="34"/>
    </row>
    <row r="28" spans="1:15">
      <c r="A28" s="29">
        <v>45724.480942650465</v>
      </c>
      <c r="B28" s="30" t="s">
        <v>22</v>
      </c>
      <c r="C28" s="30" t="s">
        <v>12</v>
      </c>
      <c r="D28" s="30" t="s">
        <v>15</v>
      </c>
      <c r="E28" s="30">
        <v>5</v>
      </c>
      <c r="F28" s="30" t="s">
        <v>185</v>
      </c>
      <c r="G28" s="30">
        <v>4</v>
      </c>
      <c r="H28" s="30" t="s">
        <v>186</v>
      </c>
      <c r="I28" s="30">
        <v>5</v>
      </c>
      <c r="J28" s="30" t="s">
        <v>187</v>
      </c>
      <c r="K28" s="30">
        <v>4</v>
      </c>
      <c r="L28" s="30" t="s">
        <v>188</v>
      </c>
      <c r="M28" s="30">
        <v>5</v>
      </c>
      <c r="N28" s="30" t="s">
        <v>189</v>
      </c>
      <c r="O28" s="31"/>
    </row>
    <row r="29" spans="1:15">
      <c r="A29" s="32">
        <v>45724.481507638891</v>
      </c>
      <c r="B29" s="33" t="s">
        <v>11</v>
      </c>
      <c r="C29" s="33" t="s">
        <v>12</v>
      </c>
      <c r="D29" s="33" t="s">
        <v>13</v>
      </c>
      <c r="E29" s="33">
        <v>3</v>
      </c>
      <c r="F29" s="33" t="s">
        <v>67</v>
      </c>
      <c r="G29" s="33">
        <v>2</v>
      </c>
      <c r="H29" s="33" t="s">
        <v>190</v>
      </c>
      <c r="I29" s="33">
        <v>3</v>
      </c>
      <c r="J29" s="33" t="s">
        <v>67</v>
      </c>
      <c r="K29" s="33">
        <v>3</v>
      </c>
      <c r="L29" s="33" t="s">
        <v>67</v>
      </c>
      <c r="M29" s="33">
        <v>3</v>
      </c>
      <c r="N29" s="33" t="s">
        <v>67</v>
      </c>
      <c r="O29" s="34"/>
    </row>
    <row r="30" spans="1:15">
      <c r="A30" s="29">
        <v>45724.504378784724</v>
      </c>
      <c r="B30" s="30" t="s">
        <v>11</v>
      </c>
      <c r="C30" s="30" t="s">
        <v>12</v>
      </c>
      <c r="D30" s="30" t="s">
        <v>18</v>
      </c>
      <c r="E30" s="30">
        <v>4</v>
      </c>
      <c r="F30" s="30" t="s">
        <v>191</v>
      </c>
      <c r="G30" s="30">
        <v>5</v>
      </c>
      <c r="H30" s="30" t="s">
        <v>192</v>
      </c>
      <c r="I30" s="30">
        <v>5</v>
      </c>
      <c r="J30" s="30" t="s">
        <v>193</v>
      </c>
      <c r="K30" s="30">
        <v>5</v>
      </c>
      <c r="L30" s="30" t="s">
        <v>194</v>
      </c>
      <c r="M30" s="30">
        <v>4</v>
      </c>
      <c r="N30" s="30" t="s">
        <v>195</v>
      </c>
      <c r="O30" s="31"/>
    </row>
    <row r="31" spans="1:15">
      <c r="A31" s="32">
        <v>45724.506649467592</v>
      </c>
      <c r="B31" s="33" t="s">
        <v>11</v>
      </c>
      <c r="C31" s="33" t="s">
        <v>17</v>
      </c>
      <c r="D31" s="33" t="s">
        <v>25</v>
      </c>
      <c r="E31" s="33">
        <v>5</v>
      </c>
      <c r="F31" s="33" t="s">
        <v>196</v>
      </c>
      <c r="G31" s="33">
        <v>5</v>
      </c>
      <c r="H31" s="33" t="s">
        <v>197</v>
      </c>
      <c r="I31" s="33">
        <v>5</v>
      </c>
      <c r="J31" s="33" t="s">
        <v>198</v>
      </c>
      <c r="K31" s="33">
        <v>5</v>
      </c>
      <c r="L31" s="33" t="s">
        <v>199</v>
      </c>
      <c r="M31" s="33">
        <v>5</v>
      </c>
      <c r="N31" s="33" t="s">
        <v>200</v>
      </c>
      <c r="O31" s="34"/>
    </row>
    <row r="32" spans="1:15">
      <c r="A32" s="29">
        <v>45724.507530960647</v>
      </c>
      <c r="B32" s="30" t="s">
        <v>11</v>
      </c>
      <c r="C32" s="30" t="s">
        <v>17</v>
      </c>
      <c r="D32" s="30" t="s">
        <v>18</v>
      </c>
      <c r="E32" s="30">
        <v>5</v>
      </c>
      <c r="F32" s="30" t="s">
        <v>201</v>
      </c>
      <c r="G32" s="30">
        <v>5</v>
      </c>
      <c r="H32" s="30" t="s">
        <v>202</v>
      </c>
      <c r="I32" s="30">
        <v>5</v>
      </c>
      <c r="J32" s="30" t="s">
        <v>203</v>
      </c>
      <c r="K32" s="30">
        <v>4</v>
      </c>
      <c r="L32" s="30" t="s">
        <v>204</v>
      </c>
      <c r="M32" s="30">
        <v>5</v>
      </c>
      <c r="N32" s="30" t="s">
        <v>205</v>
      </c>
      <c r="O32" s="31"/>
    </row>
    <row r="33" spans="1:15">
      <c r="A33" s="32">
        <v>45724.508100439816</v>
      </c>
      <c r="B33" s="33" t="s">
        <v>11</v>
      </c>
      <c r="C33" s="33" t="s">
        <v>12</v>
      </c>
      <c r="D33" s="33" t="s">
        <v>25</v>
      </c>
      <c r="E33" s="33">
        <v>5</v>
      </c>
      <c r="F33" s="33" t="s">
        <v>206</v>
      </c>
      <c r="G33" s="33">
        <v>5</v>
      </c>
      <c r="H33" s="33" t="s">
        <v>202</v>
      </c>
      <c r="I33" s="33">
        <v>5</v>
      </c>
      <c r="J33" s="33" t="s">
        <v>207</v>
      </c>
      <c r="K33" s="33">
        <v>5</v>
      </c>
      <c r="L33" s="33" t="s">
        <v>208</v>
      </c>
      <c r="M33" s="33">
        <v>5</v>
      </c>
      <c r="N33" s="33" t="s">
        <v>209</v>
      </c>
      <c r="O33" s="34"/>
    </row>
    <row r="34" spans="1:15">
      <c r="A34" s="29">
        <v>45724.509121168987</v>
      </c>
      <c r="B34" s="30" t="s">
        <v>11</v>
      </c>
      <c r="C34" s="30" t="s">
        <v>17</v>
      </c>
      <c r="D34" s="30" t="s">
        <v>18</v>
      </c>
      <c r="E34" s="30">
        <v>5</v>
      </c>
      <c r="F34" s="30" t="s">
        <v>210</v>
      </c>
      <c r="G34" s="30">
        <v>4</v>
      </c>
      <c r="H34" s="30" t="s">
        <v>211</v>
      </c>
      <c r="I34" s="30">
        <v>4</v>
      </c>
      <c r="J34" s="30" t="s">
        <v>212</v>
      </c>
      <c r="K34" s="30">
        <v>4</v>
      </c>
      <c r="L34" s="30" t="s">
        <v>213</v>
      </c>
      <c r="M34" s="30">
        <v>5</v>
      </c>
      <c r="N34" s="30" t="s">
        <v>214</v>
      </c>
      <c r="O34" s="31"/>
    </row>
    <row r="35" spans="1:15">
      <c r="A35" s="32">
        <v>45724.510037592598</v>
      </c>
      <c r="B35" s="33" t="s">
        <v>11</v>
      </c>
      <c r="C35" s="33" t="s">
        <v>12</v>
      </c>
      <c r="D35" s="33" t="s">
        <v>25</v>
      </c>
      <c r="E35" s="33">
        <v>5</v>
      </c>
      <c r="F35" s="33" t="s">
        <v>215</v>
      </c>
      <c r="G35" s="33">
        <v>4</v>
      </c>
      <c r="H35" s="33" t="s">
        <v>216</v>
      </c>
      <c r="I35" s="33">
        <v>5</v>
      </c>
      <c r="J35" s="33" t="s">
        <v>217</v>
      </c>
      <c r="K35" s="33">
        <v>5</v>
      </c>
      <c r="L35" s="33" t="s">
        <v>218</v>
      </c>
      <c r="M35" s="33">
        <v>5</v>
      </c>
      <c r="N35" s="33" t="s">
        <v>219</v>
      </c>
      <c r="O35" s="34"/>
    </row>
    <row r="36" spans="1:15">
      <c r="A36" s="29">
        <v>45724.510735914351</v>
      </c>
      <c r="B36" s="30" t="s">
        <v>16</v>
      </c>
      <c r="C36" s="30" t="s">
        <v>12</v>
      </c>
      <c r="D36" s="30" t="s">
        <v>13</v>
      </c>
      <c r="E36" s="30">
        <v>5</v>
      </c>
      <c r="F36" s="30" t="s">
        <v>220</v>
      </c>
      <c r="G36" s="30">
        <v>5</v>
      </c>
      <c r="H36" s="30" t="s">
        <v>221</v>
      </c>
      <c r="I36" s="30">
        <v>5</v>
      </c>
      <c r="J36" s="30" t="s">
        <v>221</v>
      </c>
      <c r="K36" s="30">
        <v>5</v>
      </c>
      <c r="L36" s="30" t="s">
        <v>84</v>
      </c>
      <c r="M36" s="30">
        <v>5</v>
      </c>
      <c r="N36" s="30" t="s">
        <v>222</v>
      </c>
      <c r="O36" s="31"/>
    </row>
    <row r="37" spans="1:15">
      <c r="A37" s="32">
        <v>45724.512562071759</v>
      </c>
      <c r="B37" s="33" t="s">
        <v>16</v>
      </c>
      <c r="C37" s="33" t="s">
        <v>12</v>
      </c>
      <c r="D37" s="33" t="s">
        <v>13</v>
      </c>
      <c r="E37" s="33">
        <v>5</v>
      </c>
      <c r="F37" s="33" t="s">
        <v>223</v>
      </c>
      <c r="G37" s="33">
        <v>4</v>
      </c>
      <c r="H37" s="33" t="s">
        <v>224</v>
      </c>
      <c r="I37" s="33">
        <v>4</v>
      </c>
      <c r="J37" s="33" t="s">
        <v>225</v>
      </c>
      <c r="K37" s="33">
        <v>4</v>
      </c>
      <c r="L37" s="33" t="s">
        <v>226</v>
      </c>
      <c r="M37" s="33">
        <v>4</v>
      </c>
      <c r="N37" s="33" t="s">
        <v>227</v>
      </c>
      <c r="O37" s="34"/>
    </row>
    <row r="38" spans="1:15">
      <c r="A38" s="29">
        <v>45724.753133043982</v>
      </c>
      <c r="B38" s="30" t="s">
        <v>11</v>
      </c>
      <c r="C38" s="30" t="s">
        <v>17</v>
      </c>
      <c r="D38" s="30" t="s">
        <v>18</v>
      </c>
      <c r="E38" s="30">
        <v>5</v>
      </c>
      <c r="F38" s="30" t="s">
        <v>228</v>
      </c>
      <c r="G38" s="30">
        <v>5</v>
      </c>
      <c r="H38" s="30" t="s">
        <v>87</v>
      </c>
      <c r="I38" s="30">
        <v>4</v>
      </c>
      <c r="J38" s="30" t="s">
        <v>229</v>
      </c>
      <c r="K38" s="30">
        <v>5</v>
      </c>
      <c r="L38" s="30" t="s">
        <v>87</v>
      </c>
      <c r="M38" s="30">
        <v>5</v>
      </c>
      <c r="N38" s="30" t="s">
        <v>230</v>
      </c>
      <c r="O38" s="31"/>
    </row>
    <row r="39" spans="1:15">
      <c r="A39" s="32">
        <v>45724.954264953703</v>
      </c>
      <c r="B39" s="33" t="s">
        <v>16</v>
      </c>
      <c r="C39" s="33" t="s">
        <v>12</v>
      </c>
      <c r="D39" s="33" t="s">
        <v>13</v>
      </c>
      <c r="E39" s="33">
        <v>4</v>
      </c>
      <c r="F39" s="33" t="s">
        <v>67</v>
      </c>
      <c r="G39" s="33">
        <v>4</v>
      </c>
      <c r="H39" s="33" t="s">
        <v>67</v>
      </c>
      <c r="I39" s="33">
        <v>4</v>
      </c>
      <c r="J39" s="33" t="s">
        <v>67</v>
      </c>
      <c r="K39" s="33">
        <v>4</v>
      </c>
      <c r="L39" s="33" t="s">
        <v>67</v>
      </c>
      <c r="M39" s="33">
        <v>5</v>
      </c>
      <c r="N39" s="33" t="s">
        <v>67</v>
      </c>
      <c r="O39" s="34"/>
    </row>
    <row r="40" spans="1:15">
      <c r="A40" s="29">
        <v>45725.403766342592</v>
      </c>
      <c r="B40" s="30" t="s">
        <v>11</v>
      </c>
      <c r="C40" s="30" t="s">
        <v>17</v>
      </c>
      <c r="D40" s="30" t="s">
        <v>25</v>
      </c>
      <c r="E40" s="30">
        <v>5</v>
      </c>
      <c r="F40" s="30" t="s">
        <v>231</v>
      </c>
      <c r="G40" s="30">
        <v>4</v>
      </c>
      <c r="H40" s="30" t="s">
        <v>232</v>
      </c>
      <c r="I40" s="30">
        <v>5</v>
      </c>
      <c r="J40" s="30" t="s">
        <v>233</v>
      </c>
      <c r="K40" s="30">
        <v>4</v>
      </c>
      <c r="L40" s="30" t="s">
        <v>234</v>
      </c>
      <c r="M40" s="30">
        <v>4</v>
      </c>
      <c r="N40" s="30" t="s">
        <v>235</v>
      </c>
      <c r="O40" s="31"/>
    </row>
    <row r="41" spans="1:15">
      <c r="A41" s="32">
        <v>45725.404732569441</v>
      </c>
      <c r="B41" s="33" t="s">
        <v>11</v>
      </c>
      <c r="C41" s="33" t="s">
        <v>17</v>
      </c>
      <c r="D41" s="33" t="s">
        <v>25</v>
      </c>
      <c r="E41" s="33">
        <v>4</v>
      </c>
      <c r="F41" s="33" t="s">
        <v>236</v>
      </c>
      <c r="G41" s="33">
        <v>5</v>
      </c>
      <c r="H41" s="33" t="s">
        <v>237</v>
      </c>
      <c r="I41" s="33">
        <v>5</v>
      </c>
      <c r="J41" s="33" t="s">
        <v>238</v>
      </c>
      <c r="K41" s="33">
        <v>3</v>
      </c>
      <c r="L41" s="33" t="s">
        <v>239</v>
      </c>
      <c r="M41" s="33">
        <v>5</v>
      </c>
      <c r="N41" s="33" t="s">
        <v>240</v>
      </c>
      <c r="O41" s="34"/>
    </row>
    <row r="42" spans="1:15">
      <c r="A42" s="29">
        <v>45725.405390300926</v>
      </c>
      <c r="B42" s="30" t="s">
        <v>11</v>
      </c>
      <c r="C42" s="30" t="s">
        <v>12</v>
      </c>
      <c r="D42" s="30" t="s">
        <v>25</v>
      </c>
      <c r="E42" s="30">
        <v>5</v>
      </c>
      <c r="F42" s="30" t="s">
        <v>241</v>
      </c>
      <c r="G42" s="30">
        <v>5</v>
      </c>
      <c r="H42" s="30" t="s">
        <v>242</v>
      </c>
      <c r="I42" s="30">
        <v>5</v>
      </c>
      <c r="J42" s="30" t="s">
        <v>243</v>
      </c>
      <c r="K42" s="30">
        <v>5</v>
      </c>
      <c r="L42" s="30" t="s">
        <v>244</v>
      </c>
      <c r="M42" s="30">
        <v>5</v>
      </c>
      <c r="N42" s="30" t="s">
        <v>245</v>
      </c>
      <c r="O42" s="31"/>
    </row>
    <row r="43" spans="1:15">
      <c r="A43" s="32">
        <v>45725.406136851852</v>
      </c>
      <c r="B43" s="33" t="s">
        <v>14</v>
      </c>
      <c r="C43" s="33" t="s">
        <v>17</v>
      </c>
      <c r="D43" s="33" t="s">
        <v>21</v>
      </c>
      <c r="E43" s="33">
        <v>5</v>
      </c>
      <c r="F43" s="33" t="s">
        <v>246</v>
      </c>
      <c r="G43" s="33">
        <v>5</v>
      </c>
      <c r="H43" s="33" t="s">
        <v>247</v>
      </c>
      <c r="I43" s="33">
        <v>5</v>
      </c>
      <c r="J43" s="33" t="s">
        <v>215</v>
      </c>
      <c r="K43" s="33">
        <v>5</v>
      </c>
      <c r="L43" s="33" t="s">
        <v>248</v>
      </c>
      <c r="M43" s="33">
        <v>5</v>
      </c>
      <c r="N43" s="33" t="s">
        <v>249</v>
      </c>
      <c r="O43" s="34"/>
    </row>
    <row r="44" spans="1:15">
      <c r="A44" s="29">
        <v>45725.406980914355</v>
      </c>
      <c r="B44" s="30" t="s">
        <v>14</v>
      </c>
      <c r="C44" s="30" t="s">
        <v>17</v>
      </c>
      <c r="D44" s="30" t="s">
        <v>21</v>
      </c>
      <c r="E44" s="30">
        <v>5</v>
      </c>
      <c r="F44" s="30" t="s">
        <v>250</v>
      </c>
      <c r="G44" s="30">
        <v>5</v>
      </c>
      <c r="H44" s="30" t="s">
        <v>166</v>
      </c>
      <c r="I44" s="30">
        <v>5</v>
      </c>
      <c r="J44" s="30" t="s">
        <v>67</v>
      </c>
      <c r="K44" s="30">
        <v>5</v>
      </c>
      <c r="L44" s="30" t="s">
        <v>251</v>
      </c>
      <c r="M44" s="30">
        <v>5</v>
      </c>
      <c r="N44" s="30" t="s">
        <v>252</v>
      </c>
      <c r="O44" s="31"/>
    </row>
    <row r="45" spans="1:15">
      <c r="A45" s="32">
        <v>45725.407849432871</v>
      </c>
      <c r="B45" s="33" t="s">
        <v>11</v>
      </c>
      <c r="C45" s="33" t="s">
        <v>12</v>
      </c>
      <c r="D45" s="33" t="s">
        <v>13</v>
      </c>
      <c r="E45" s="33">
        <v>5</v>
      </c>
      <c r="F45" s="33" t="s">
        <v>253</v>
      </c>
      <c r="G45" s="33">
        <v>5</v>
      </c>
      <c r="H45" s="33" t="s">
        <v>254</v>
      </c>
      <c r="I45" s="33">
        <v>5</v>
      </c>
      <c r="J45" s="33" t="s">
        <v>255</v>
      </c>
      <c r="K45" s="33">
        <v>5</v>
      </c>
      <c r="L45" s="33" t="s">
        <v>256</v>
      </c>
      <c r="M45" s="33">
        <v>5</v>
      </c>
      <c r="N45" s="33" t="s">
        <v>257</v>
      </c>
      <c r="O45" s="34"/>
    </row>
    <row r="46" spans="1:15">
      <c r="A46" s="29">
        <v>45725.408518969911</v>
      </c>
      <c r="B46" s="30" t="s">
        <v>11</v>
      </c>
      <c r="C46" s="30" t="s">
        <v>17</v>
      </c>
      <c r="D46" s="30" t="s">
        <v>13</v>
      </c>
      <c r="E46" s="30">
        <v>5</v>
      </c>
      <c r="F46" s="30" t="s">
        <v>258</v>
      </c>
      <c r="G46" s="30">
        <v>4</v>
      </c>
      <c r="H46" s="30" t="s">
        <v>259</v>
      </c>
      <c r="I46" s="30">
        <v>4</v>
      </c>
      <c r="J46" s="30" t="s">
        <v>260</v>
      </c>
      <c r="K46" s="30">
        <v>4</v>
      </c>
      <c r="L46" s="30" t="s">
        <v>261</v>
      </c>
      <c r="M46" s="30">
        <v>4</v>
      </c>
      <c r="N46" s="30" t="s">
        <v>262</v>
      </c>
      <c r="O46" s="31"/>
    </row>
    <row r="47" spans="1:15">
      <c r="A47" s="32">
        <v>45725.409210358797</v>
      </c>
      <c r="B47" s="33" t="s">
        <v>11</v>
      </c>
      <c r="C47" s="33" t="s">
        <v>12</v>
      </c>
      <c r="D47" s="33" t="s">
        <v>13</v>
      </c>
      <c r="E47" s="33">
        <v>5</v>
      </c>
      <c r="F47" s="33" t="s">
        <v>263</v>
      </c>
      <c r="G47" s="33">
        <v>5</v>
      </c>
      <c r="H47" s="33" t="s">
        <v>264</v>
      </c>
      <c r="I47" s="33">
        <v>5</v>
      </c>
      <c r="J47" s="33" t="s">
        <v>265</v>
      </c>
      <c r="K47" s="33">
        <v>5</v>
      </c>
      <c r="L47" s="33" t="s">
        <v>266</v>
      </c>
      <c r="M47" s="33">
        <v>5</v>
      </c>
      <c r="N47" s="33" t="s">
        <v>267</v>
      </c>
      <c r="O47" s="34"/>
    </row>
    <row r="48" spans="1:15">
      <c r="A48" s="29">
        <v>45725.410012407403</v>
      </c>
      <c r="B48" s="30" t="s">
        <v>11</v>
      </c>
      <c r="C48" s="30" t="s">
        <v>17</v>
      </c>
      <c r="D48" s="30" t="s">
        <v>25</v>
      </c>
      <c r="E48" s="30">
        <v>5</v>
      </c>
      <c r="F48" s="30" t="s">
        <v>268</v>
      </c>
      <c r="G48" s="30">
        <v>5</v>
      </c>
      <c r="H48" s="30" t="s">
        <v>269</v>
      </c>
      <c r="I48" s="30">
        <v>5</v>
      </c>
      <c r="J48" s="30" t="s">
        <v>270</v>
      </c>
      <c r="K48" s="30">
        <v>4</v>
      </c>
      <c r="L48" s="30" t="s">
        <v>271</v>
      </c>
      <c r="M48" s="30">
        <v>5</v>
      </c>
      <c r="N48" s="30" t="s">
        <v>272</v>
      </c>
      <c r="O48" s="31"/>
    </row>
    <row r="49" spans="1:15">
      <c r="A49" s="32">
        <v>45725.410676527783</v>
      </c>
      <c r="B49" s="33" t="s">
        <v>11</v>
      </c>
      <c r="C49" s="33" t="s">
        <v>12</v>
      </c>
      <c r="D49" s="33" t="s">
        <v>18</v>
      </c>
      <c r="E49" s="33">
        <v>5</v>
      </c>
      <c r="F49" s="33" t="s">
        <v>273</v>
      </c>
      <c r="G49" s="33">
        <v>5</v>
      </c>
      <c r="H49" s="33" t="s">
        <v>274</v>
      </c>
      <c r="I49" s="33">
        <v>5</v>
      </c>
      <c r="J49" s="33" t="s">
        <v>275</v>
      </c>
      <c r="K49" s="33">
        <v>5</v>
      </c>
      <c r="L49" s="33" t="s">
        <v>276</v>
      </c>
      <c r="M49" s="33">
        <v>5</v>
      </c>
      <c r="N49" s="33" t="s">
        <v>277</v>
      </c>
      <c r="O49" s="34"/>
    </row>
    <row r="50" spans="1:15">
      <c r="A50" s="29">
        <v>45725.411612418982</v>
      </c>
      <c r="B50" s="30" t="s">
        <v>11</v>
      </c>
      <c r="C50" s="30" t="s">
        <v>17</v>
      </c>
      <c r="D50" s="30" t="s">
        <v>25</v>
      </c>
      <c r="E50" s="30">
        <v>5</v>
      </c>
      <c r="F50" s="30" t="s">
        <v>278</v>
      </c>
      <c r="G50" s="30">
        <v>5</v>
      </c>
      <c r="H50" s="30" t="s">
        <v>279</v>
      </c>
      <c r="I50" s="30">
        <v>5</v>
      </c>
      <c r="J50" s="30" t="s">
        <v>280</v>
      </c>
      <c r="K50" s="30">
        <v>5</v>
      </c>
      <c r="L50" s="30" t="s">
        <v>281</v>
      </c>
      <c r="M50" s="30">
        <v>5</v>
      </c>
      <c r="N50" s="30" t="s">
        <v>282</v>
      </c>
      <c r="O50" s="31"/>
    </row>
    <row r="51" spans="1:15">
      <c r="A51" s="32">
        <v>45725.412978032407</v>
      </c>
      <c r="B51" s="33" t="s">
        <v>11</v>
      </c>
      <c r="C51" s="33" t="s">
        <v>17</v>
      </c>
      <c r="D51" s="33" t="s">
        <v>13</v>
      </c>
      <c r="E51" s="33">
        <v>5</v>
      </c>
      <c r="F51" s="33" t="s">
        <v>283</v>
      </c>
      <c r="G51" s="33">
        <v>5</v>
      </c>
      <c r="H51" s="33" t="s">
        <v>284</v>
      </c>
      <c r="I51" s="33">
        <v>5</v>
      </c>
      <c r="J51" s="33" t="s">
        <v>285</v>
      </c>
      <c r="K51" s="33">
        <v>5</v>
      </c>
      <c r="L51" s="33" t="s">
        <v>286</v>
      </c>
      <c r="M51" s="33">
        <v>5</v>
      </c>
      <c r="N51" s="33" t="s">
        <v>287</v>
      </c>
      <c r="O51" s="34"/>
    </row>
    <row r="52" spans="1:15">
      <c r="A52" s="29">
        <v>45725.413524756943</v>
      </c>
      <c r="B52" s="30" t="s">
        <v>11</v>
      </c>
      <c r="C52" s="30" t="s">
        <v>17</v>
      </c>
      <c r="D52" s="30" t="s">
        <v>13</v>
      </c>
      <c r="E52" s="30">
        <v>5</v>
      </c>
      <c r="F52" s="30" t="s">
        <v>288</v>
      </c>
      <c r="G52" s="30">
        <v>5</v>
      </c>
      <c r="H52" s="30" t="s">
        <v>289</v>
      </c>
      <c r="I52" s="30">
        <v>5</v>
      </c>
      <c r="J52" s="30" t="s">
        <v>290</v>
      </c>
      <c r="K52" s="30">
        <v>5</v>
      </c>
      <c r="L52" s="30" t="s">
        <v>291</v>
      </c>
      <c r="M52" s="30">
        <v>5</v>
      </c>
      <c r="N52" s="30" t="s">
        <v>292</v>
      </c>
      <c r="O52" s="31"/>
    </row>
    <row r="53" spans="1:15">
      <c r="A53" s="32">
        <v>45725.414070451385</v>
      </c>
      <c r="B53" s="33" t="s">
        <v>14</v>
      </c>
      <c r="C53" s="33" t="s">
        <v>12</v>
      </c>
      <c r="D53" s="33" t="s">
        <v>18</v>
      </c>
      <c r="E53" s="33">
        <v>5</v>
      </c>
      <c r="F53" s="33" t="s">
        <v>293</v>
      </c>
      <c r="G53" s="33">
        <v>5</v>
      </c>
      <c r="H53" s="33" t="s">
        <v>294</v>
      </c>
      <c r="I53" s="33">
        <v>5</v>
      </c>
      <c r="J53" s="33" t="s">
        <v>295</v>
      </c>
      <c r="K53" s="33">
        <v>4</v>
      </c>
      <c r="L53" s="33" t="s">
        <v>296</v>
      </c>
      <c r="M53" s="33">
        <v>5</v>
      </c>
      <c r="N53" s="33" t="s">
        <v>297</v>
      </c>
      <c r="O53" s="34"/>
    </row>
    <row r="54" spans="1:15">
      <c r="A54" s="35">
        <v>45725.414967627315</v>
      </c>
      <c r="B54" s="36" t="s">
        <v>11</v>
      </c>
      <c r="C54" s="36" t="s">
        <v>17</v>
      </c>
      <c r="D54" s="36" t="s">
        <v>25</v>
      </c>
      <c r="E54" s="36">
        <v>5</v>
      </c>
      <c r="F54" s="36" t="s">
        <v>298</v>
      </c>
      <c r="G54" s="36">
        <v>5</v>
      </c>
      <c r="H54" s="36" t="s">
        <v>299</v>
      </c>
      <c r="I54" s="36">
        <v>5</v>
      </c>
      <c r="J54" s="36" t="s">
        <v>300</v>
      </c>
      <c r="K54" s="36">
        <v>5</v>
      </c>
      <c r="L54" s="36" t="s">
        <v>301</v>
      </c>
      <c r="M54" s="36">
        <v>5</v>
      </c>
      <c r="N54" s="36" t="s">
        <v>302</v>
      </c>
      <c r="O54" s="37"/>
    </row>
    <row r="55" spans="1:15">
      <c r="E55">
        <f>SUM(Form_Responses1[Aplikasi ini memiliki tampilan yang sederhana dan mudah dipahami])</f>
        <v>251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41F45-D881-4E4C-BFC1-0A56C2852CB2}">
  <dimension ref="A1:AJ63"/>
  <sheetViews>
    <sheetView tabSelected="1" zoomScale="59" workbookViewId="0">
      <selection activeCell="H6" sqref="H6"/>
    </sheetView>
  </sheetViews>
  <sheetFormatPr defaultRowHeight="13"/>
  <cols>
    <col min="1" max="1" width="8.7265625" style="24"/>
    <col min="2" max="2" width="11.90625" style="10" hidden="1" customWidth="1"/>
    <col min="3" max="3" width="10.6328125" style="11" customWidth="1"/>
    <col min="4" max="4" width="11.7265625" style="10" hidden="1" customWidth="1"/>
    <col min="5" max="5" width="10.6328125" style="11" customWidth="1"/>
    <col min="6" max="6" width="25.6328125" style="10" hidden="1" customWidth="1"/>
    <col min="7" max="7" width="12.7265625" style="11" customWidth="1"/>
    <col min="8" max="10" width="10.6328125" style="11" customWidth="1"/>
    <col min="11" max="14" width="10.6328125" style="22" customWidth="1"/>
    <col min="15" max="15" width="8.7265625" style="10"/>
    <col min="16" max="16" width="5" style="10" customWidth="1"/>
    <col min="17" max="17" width="12.453125" style="11" customWidth="1"/>
    <col min="18" max="18" width="5.1796875" style="11" customWidth="1"/>
    <col min="19" max="19" width="24.81640625" style="10" customWidth="1"/>
    <col min="20" max="23" width="8.81640625" style="10" bestFit="1" customWidth="1"/>
    <col min="24" max="24" width="11.6328125" style="10" bestFit="1" customWidth="1"/>
    <col min="25" max="27" width="8.7265625" style="10"/>
    <col min="28" max="28" width="12.453125" style="10" customWidth="1"/>
    <col min="29" max="16384" width="8.7265625" style="10"/>
  </cols>
  <sheetData>
    <row r="1" spans="1:29" ht="15.5">
      <c r="A1" s="73" t="s">
        <v>306</v>
      </c>
      <c r="B1" s="74"/>
      <c r="C1" s="74"/>
      <c r="D1" s="74"/>
      <c r="E1" s="74"/>
    </row>
    <row r="2" spans="1:29" ht="15.5">
      <c r="A2" s="75" t="s">
        <v>307</v>
      </c>
      <c r="B2" s="74"/>
      <c r="C2" s="74"/>
      <c r="D2" s="74"/>
      <c r="E2" s="74"/>
    </row>
    <row r="3" spans="1:29" ht="15.5">
      <c r="A3" s="73" t="s">
        <v>308</v>
      </c>
      <c r="B3" s="74"/>
      <c r="C3" s="76" t="s">
        <v>309</v>
      </c>
      <c r="D3" s="74"/>
      <c r="E3" s="74"/>
    </row>
    <row r="4" spans="1:29" ht="15.5">
      <c r="A4" s="74"/>
      <c r="B4" s="74"/>
      <c r="C4" s="76" t="s">
        <v>310</v>
      </c>
      <c r="D4" s="74"/>
      <c r="E4" s="74"/>
    </row>
    <row r="5" spans="1:29" ht="15.5">
      <c r="A5" s="74"/>
      <c r="B5" s="74"/>
      <c r="C5" s="76" t="s">
        <v>311</v>
      </c>
      <c r="D5" s="74"/>
      <c r="E5" s="74"/>
    </row>
    <row r="6" spans="1:29" ht="15.5">
      <c r="A6" s="74"/>
      <c r="B6" s="74"/>
      <c r="C6" s="76" t="s">
        <v>312</v>
      </c>
      <c r="D6" s="74"/>
      <c r="E6" s="74"/>
    </row>
    <row r="8" spans="1:29" s="4" customFormat="1" ht="26">
      <c r="A8" s="1" t="s">
        <v>0</v>
      </c>
      <c r="B8" s="2" t="s">
        <v>1</v>
      </c>
      <c r="C8" s="2" t="s">
        <v>1</v>
      </c>
      <c r="D8" s="2" t="s">
        <v>2</v>
      </c>
      <c r="E8" s="2" t="s">
        <v>2</v>
      </c>
      <c r="F8" s="2" t="s">
        <v>3</v>
      </c>
      <c r="G8" s="2" t="s">
        <v>3</v>
      </c>
      <c r="H8" s="2" t="s">
        <v>4</v>
      </c>
      <c r="I8" s="2" t="s">
        <v>5</v>
      </c>
      <c r="J8" s="3" t="s">
        <v>6</v>
      </c>
      <c r="K8" s="3" t="s">
        <v>7</v>
      </c>
      <c r="L8" s="3" t="s">
        <v>8</v>
      </c>
      <c r="M8" s="2" t="s">
        <v>9</v>
      </c>
      <c r="N8" s="2" t="s">
        <v>10</v>
      </c>
    </row>
    <row r="9" spans="1:29">
      <c r="A9" s="5">
        <v>1</v>
      </c>
      <c r="B9" s="6" t="s">
        <v>11</v>
      </c>
      <c r="C9" s="7">
        <f>IF(B9="&lt;20 Tahun",1,IF(B9="20 - 29 Tahun",2,IF(B9="30 - 39 Tahun",3,IF(B9="40 - 49 Tahun",4,IF(B9="≥50 Tahun",5,"")))))</f>
        <v>2</v>
      </c>
      <c r="D9" s="6" t="s">
        <v>12</v>
      </c>
      <c r="E9" s="8">
        <f>IF(D9="Laki-laki",1,IF(D9="Perempuan",2,""))</f>
        <v>2</v>
      </c>
      <c r="F9" s="6" t="s">
        <v>13</v>
      </c>
      <c r="G9" s="8">
        <f>IF(F9="Pelajar/Mahasiswa",1,IF(F9="Pegawai Negeri Sipil (PNS)",2,IF(F9="Karyawan Swasta",3,IF(F9="Wirausaha",4,IF(F9="Ibu Rumah Tangga",5,"")))))</f>
        <v>1</v>
      </c>
      <c r="H9" s="8">
        <v>4</v>
      </c>
      <c r="I9" s="8">
        <v>5</v>
      </c>
      <c r="J9" s="8">
        <v>4</v>
      </c>
      <c r="K9" s="9">
        <v>5</v>
      </c>
      <c r="L9" s="9">
        <v>3</v>
      </c>
      <c r="M9" s="9">
        <f>SUM($J9:$L9)</f>
        <v>12</v>
      </c>
      <c r="N9" s="9">
        <f>SUM(H9:L9)</f>
        <v>21</v>
      </c>
    </row>
    <row r="10" spans="1:29">
      <c r="A10" s="5">
        <f>A9+1</f>
        <v>2</v>
      </c>
      <c r="B10" s="6" t="s">
        <v>14</v>
      </c>
      <c r="C10" s="7">
        <f t="shared" ref="C10:C61" si="0">IF(B10="&lt;20 Tahun",1,IF(B10="20 - 29 Tahun",2,IF(B10="30 - 39 Tahun",3,IF(B10="40 - 49 Tahun",4,IF(B10="≥50 Tahun",5,"")))))</f>
        <v>3</v>
      </c>
      <c r="D10" s="6" t="s">
        <v>12</v>
      </c>
      <c r="E10" s="8">
        <f t="shared" ref="E10:E61" si="1">IF(D10="Laki-laki",1,IF(D10="Perempuan",2,""))</f>
        <v>2</v>
      </c>
      <c r="F10" s="6" t="s">
        <v>15</v>
      </c>
      <c r="G10" s="8">
        <f t="shared" ref="G10:G61" si="2">IF(F10="Pelajar/Mahasiswa",1,IF(F10="Pegawai Negeri Sipil (PNS)",2,IF(F10="Karyawan Swasta",3,IF(F10="Wirausaha",4,IF(F10="Ibu Rumah Tangga",5,"")))))</f>
        <v>5</v>
      </c>
      <c r="H10" s="8">
        <v>4</v>
      </c>
      <c r="I10" s="8">
        <v>4</v>
      </c>
      <c r="J10" s="8">
        <v>3</v>
      </c>
      <c r="K10" s="9">
        <v>3</v>
      </c>
      <c r="L10" s="9">
        <v>3</v>
      </c>
      <c r="M10" s="9">
        <f t="shared" ref="M10:M61" si="3">SUM($J10:$L10)</f>
        <v>9</v>
      </c>
      <c r="N10" s="9">
        <f t="shared" ref="N10:N61" si="4">SUM(H10:L10)</f>
        <v>17</v>
      </c>
    </row>
    <row r="11" spans="1:29">
      <c r="A11" s="5">
        <f t="shared" ref="A11:A61" si="5">A10+1</f>
        <v>3</v>
      </c>
      <c r="B11" s="6" t="s">
        <v>16</v>
      </c>
      <c r="C11" s="7">
        <f t="shared" si="0"/>
        <v>1</v>
      </c>
      <c r="D11" s="6" t="s">
        <v>12</v>
      </c>
      <c r="E11" s="8">
        <f t="shared" si="1"/>
        <v>2</v>
      </c>
      <c r="F11" s="6" t="s">
        <v>13</v>
      </c>
      <c r="G11" s="8">
        <f t="shared" si="2"/>
        <v>1</v>
      </c>
      <c r="H11" s="8">
        <v>4</v>
      </c>
      <c r="I11" s="8">
        <v>4</v>
      </c>
      <c r="J11" s="8">
        <v>5</v>
      </c>
      <c r="K11" s="9">
        <v>5</v>
      </c>
      <c r="L11" s="9">
        <v>4</v>
      </c>
      <c r="M11" s="9">
        <f t="shared" si="3"/>
        <v>14</v>
      </c>
      <c r="N11" s="9">
        <f t="shared" si="4"/>
        <v>22</v>
      </c>
    </row>
    <row r="12" spans="1:29">
      <c r="A12" s="5">
        <f t="shared" si="5"/>
        <v>4</v>
      </c>
      <c r="B12" s="6" t="s">
        <v>11</v>
      </c>
      <c r="C12" s="7">
        <f t="shared" si="0"/>
        <v>2</v>
      </c>
      <c r="D12" s="6" t="s">
        <v>17</v>
      </c>
      <c r="E12" s="8">
        <f t="shared" si="1"/>
        <v>1</v>
      </c>
      <c r="F12" s="6" t="s">
        <v>18</v>
      </c>
      <c r="G12" s="8">
        <f t="shared" si="2"/>
        <v>3</v>
      </c>
      <c r="H12" s="8">
        <v>3</v>
      </c>
      <c r="I12" s="8">
        <v>4</v>
      </c>
      <c r="J12" s="8">
        <v>4</v>
      </c>
      <c r="K12" s="9">
        <v>5</v>
      </c>
      <c r="L12" s="9">
        <v>4</v>
      </c>
      <c r="M12" s="9">
        <f t="shared" si="3"/>
        <v>13</v>
      </c>
      <c r="N12" s="9">
        <f t="shared" si="4"/>
        <v>20</v>
      </c>
      <c r="P12" s="41" t="s">
        <v>19</v>
      </c>
      <c r="Q12" s="71"/>
      <c r="R12" s="71"/>
      <c r="S12" s="71"/>
      <c r="T12" s="71"/>
      <c r="U12" s="71"/>
      <c r="V12" s="71"/>
      <c r="W12" s="71"/>
      <c r="X12" s="71"/>
      <c r="Y12" s="71"/>
      <c r="Z12" s="71"/>
      <c r="AA12" s="71"/>
      <c r="AB12" s="71"/>
      <c r="AC12" s="72"/>
    </row>
    <row r="13" spans="1:29">
      <c r="A13" s="5">
        <f t="shared" si="5"/>
        <v>5</v>
      </c>
      <c r="B13" s="6" t="s">
        <v>16</v>
      </c>
      <c r="C13" s="7">
        <f t="shared" si="0"/>
        <v>1</v>
      </c>
      <c r="D13" s="6" t="s">
        <v>12</v>
      </c>
      <c r="E13" s="8">
        <f t="shared" si="1"/>
        <v>2</v>
      </c>
      <c r="F13" s="6" t="s">
        <v>13</v>
      </c>
      <c r="G13" s="8">
        <f t="shared" si="2"/>
        <v>1</v>
      </c>
      <c r="H13" s="8">
        <v>4</v>
      </c>
      <c r="I13" s="8">
        <v>4</v>
      </c>
      <c r="J13" s="8">
        <v>4</v>
      </c>
      <c r="K13" s="9">
        <v>4</v>
      </c>
      <c r="L13" s="9">
        <v>3</v>
      </c>
      <c r="M13" s="9">
        <f t="shared" si="3"/>
        <v>11</v>
      </c>
      <c r="N13" s="9">
        <f t="shared" si="4"/>
        <v>19</v>
      </c>
      <c r="P13" s="12">
        <v>1</v>
      </c>
      <c r="Q13" s="44" t="s">
        <v>20</v>
      </c>
      <c r="R13" s="45"/>
      <c r="S13" s="44" t="s">
        <v>1</v>
      </c>
      <c r="T13" s="46"/>
      <c r="U13" s="46"/>
      <c r="V13" s="46"/>
      <c r="W13" s="46"/>
      <c r="X13" s="46"/>
      <c r="Y13" s="46"/>
      <c r="Z13" s="46"/>
      <c r="AA13" s="46"/>
      <c r="AB13" s="46"/>
      <c r="AC13" s="45"/>
    </row>
    <row r="14" spans="1:29">
      <c r="A14" s="5">
        <f t="shared" si="5"/>
        <v>6</v>
      </c>
      <c r="B14" s="6" t="s">
        <v>16</v>
      </c>
      <c r="C14" s="7">
        <f t="shared" si="0"/>
        <v>1</v>
      </c>
      <c r="D14" s="6" t="s">
        <v>12</v>
      </c>
      <c r="E14" s="8">
        <f t="shared" si="1"/>
        <v>2</v>
      </c>
      <c r="F14" s="6" t="s">
        <v>13</v>
      </c>
      <c r="G14" s="8">
        <f t="shared" si="2"/>
        <v>1</v>
      </c>
      <c r="H14" s="8">
        <v>5</v>
      </c>
      <c r="I14" s="8">
        <v>5</v>
      </c>
      <c r="J14" s="8">
        <v>5</v>
      </c>
      <c r="K14" s="9">
        <v>5</v>
      </c>
      <c r="L14" s="9">
        <v>5</v>
      </c>
      <c r="M14" s="9">
        <f t="shared" si="3"/>
        <v>15</v>
      </c>
      <c r="N14" s="9">
        <f t="shared" si="4"/>
        <v>25</v>
      </c>
      <c r="P14" s="47"/>
      <c r="Q14" s="5">
        <v>1</v>
      </c>
      <c r="R14" s="13"/>
      <c r="S14" s="68" t="s">
        <v>16</v>
      </c>
      <c r="T14" s="69"/>
      <c r="U14" s="69"/>
      <c r="V14" s="69"/>
      <c r="W14" s="69"/>
      <c r="X14" s="69"/>
      <c r="Y14" s="69"/>
      <c r="Z14" s="69"/>
      <c r="AA14" s="69"/>
      <c r="AB14" s="69"/>
      <c r="AC14" s="70"/>
    </row>
    <row r="15" spans="1:29">
      <c r="A15" s="5">
        <f t="shared" si="5"/>
        <v>7</v>
      </c>
      <c r="B15" s="6" t="s">
        <v>11</v>
      </c>
      <c r="C15" s="7">
        <f t="shared" si="0"/>
        <v>2</v>
      </c>
      <c r="D15" s="6" t="s">
        <v>12</v>
      </c>
      <c r="E15" s="8">
        <f t="shared" si="1"/>
        <v>2</v>
      </c>
      <c r="F15" s="6" t="s">
        <v>18</v>
      </c>
      <c r="G15" s="8">
        <f t="shared" si="2"/>
        <v>3</v>
      </c>
      <c r="H15" s="8">
        <v>5</v>
      </c>
      <c r="I15" s="8">
        <v>5</v>
      </c>
      <c r="J15" s="8">
        <v>5</v>
      </c>
      <c r="K15" s="9">
        <v>5</v>
      </c>
      <c r="L15" s="9">
        <v>5</v>
      </c>
      <c r="M15" s="9">
        <f t="shared" si="3"/>
        <v>15</v>
      </c>
      <c r="N15" s="9">
        <f t="shared" si="4"/>
        <v>25</v>
      </c>
      <c r="P15" s="48"/>
      <c r="Q15" s="5">
        <v>2</v>
      </c>
      <c r="R15" s="13"/>
      <c r="S15" s="68" t="s">
        <v>11</v>
      </c>
      <c r="T15" s="69"/>
      <c r="U15" s="69"/>
      <c r="V15" s="69"/>
      <c r="W15" s="69"/>
      <c r="X15" s="69"/>
      <c r="Y15" s="69"/>
      <c r="Z15" s="69"/>
      <c r="AA15" s="69"/>
      <c r="AB15" s="69"/>
      <c r="AC15" s="70"/>
    </row>
    <row r="16" spans="1:29">
      <c r="A16" s="5">
        <f t="shared" si="5"/>
        <v>8</v>
      </c>
      <c r="B16" s="6" t="s">
        <v>16</v>
      </c>
      <c r="C16" s="7">
        <f t="shared" si="0"/>
        <v>1</v>
      </c>
      <c r="D16" s="6" t="s">
        <v>12</v>
      </c>
      <c r="E16" s="8">
        <f t="shared" si="1"/>
        <v>2</v>
      </c>
      <c r="F16" s="6" t="s">
        <v>13</v>
      </c>
      <c r="G16" s="8">
        <f t="shared" si="2"/>
        <v>1</v>
      </c>
      <c r="H16" s="8">
        <v>5</v>
      </c>
      <c r="I16" s="8">
        <v>5</v>
      </c>
      <c r="J16" s="8">
        <v>5</v>
      </c>
      <c r="K16" s="9">
        <v>4</v>
      </c>
      <c r="L16" s="9">
        <v>5</v>
      </c>
      <c r="M16" s="9">
        <f t="shared" si="3"/>
        <v>14</v>
      </c>
      <c r="N16" s="9">
        <f t="shared" si="4"/>
        <v>24</v>
      </c>
      <c r="P16" s="48"/>
      <c r="Q16" s="5">
        <v>3</v>
      </c>
      <c r="R16" s="13"/>
      <c r="S16" s="68" t="s">
        <v>14</v>
      </c>
      <c r="T16" s="69"/>
      <c r="U16" s="69"/>
      <c r="V16" s="69"/>
      <c r="W16" s="69"/>
      <c r="X16" s="69"/>
      <c r="Y16" s="69"/>
      <c r="Z16" s="69"/>
      <c r="AA16" s="69"/>
      <c r="AB16" s="69"/>
      <c r="AC16" s="70"/>
    </row>
    <row r="17" spans="1:36">
      <c r="A17" s="5">
        <f t="shared" si="5"/>
        <v>9</v>
      </c>
      <c r="B17" s="6" t="s">
        <v>14</v>
      </c>
      <c r="C17" s="7">
        <f t="shared" si="0"/>
        <v>3</v>
      </c>
      <c r="D17" s="6" t="s">
        <v>17</v>
      </c>
      <c r="E17" s="8">
        <f t="shared" si="1"/>
        <v>1</v>
      </c>
      <c r="F17" s="6" t="s">
        <v>21</v>
      </c>
      <c r="G17" s="8">
        <f t="shared" si="2"/>
        <v>4</v>
      </c>
      <c r="H17" s="8">
        <v>5</v>
      </c>
      <c r="I17" s="8">
        <v>5</v>
      </c>
      <c r="J17" s="8">
        <v>5</v>
      </c>
      <c r="K17" s="9">
        <v>4</v>
      </c>
      <c r="L17" s="9">
        <v>5</v>
      </c>
      <c r="M17" s="9">
        <f t="shared" si="3"/>
        <v>14</v>
      </c>
      <c r="N17" s="9">
        <f t="shared" si="4"/>
        <v>24</v>
      </c>
      <c r="P17" s="48"/>
      <c r="Q17" s="5">
        <v>4</v>
      </c>
      <c r="R17" s="13"/>
      <c r="S17" s="68" t="s">
        <v>22</v>
      </c>
      <c r="T17" s="69"/>
      <c r="U17" s="69"/>
      <c r="V17" s="69"/>
      <c r="W17" s="69"/>
      <c r="X17" s="69"/>
      <c r="Y17" s="69"/>
      <c r="Z17" s="69"/>
      <c r="AA17" s="69"/>
      <c r="AB17" s="69"/>
      <c r="AC17" s="70"/>
    </row>
    <row r="18" spans="1:36">
      <c r="A18" s="5">
        <f t="shared" si="5"/>
        <v>10</v>
      </c>
      <c r="B18" s="6" t="s">
        <v>14</v>
      </c>
      <c r="C18" s="7">
        <f t="shared" si="0"/>
        <v>3</v>
      </c>
      <c r="D18" s="6" t="s">
        <v>17</v>
      </c>
      <c r="E18" s="8">
        <f t="shared" si="1"/>
        <v>1</v>
      </c>
      <c r="F18" s="6" t="s">
        <v>18</v>
      </c>
      <c r="G18" s="8">
        <f t="shared" si="2"/>
        <v>3</v>
      </c>
      <c r="H18" s="8">
        <v>4</v>
      </c>
      <c r="I18" s="8">
        <v>5</v>
      </c>
      <c r="J18" s="8">
        <v>4</v>
      </c>
      <c r="K18" s="9">
        <v>5</v>
      </c>
      <c r="L18" s="9">
        <v>4</v>
      </c>
      <c r="M18" s="9">
        <f t="shared" si="3"/>
        <v>13</v>
      </c>
      <c r="N18" s="9">
        <f t="shared" si="4"/>
        <v>22</v>
      </c>
      <c r="P18" s="49"/>
      <c r="Q18" s="5">
        <v>5</v>
      </c>
      <c r="R18" s="13"/>
      <c r="S18" s="68" t="s">
        <v>23</v>
      </c>
      <c r="T18" s="69"/>
      <c r="U18" s="69"/>
      <c r="V18" s="69"/>
      <c r="W18" s="69"/>
      <c r="X18" s="69"/>
      <c r="Y18" s="69"/>
      <c r="Z18" s="69"/>
      <c r="AA18" s="69"/>
      <c r="AB18" s="69"/>
      <c r="AC18" s="70"/>
    </row>
    <row r="19" spans="1:36">
      <c r="A19" s="5">
        <f t="shared" si="5"/>
        <v>11</v>
      </c>
      <c r="B19" s="6" t="s">
        <v>14</v>
      </c>
      <c r="C19" s="7">
        <f t="shared" si="0"/>
        <v>3</v>
      </c>
      <c r="D19" s="6" t="s">
        <v>12</v>
      </c>
      <c r="E19" s="8">
        <f t="shared" si="1"/>
        <v>2</v>
      </c>
      <c r="F19" s="6" t="s">
        <v>18</v>
      </c>
      <c r="G19" s="8">
        <f t="shared" si="2"/>
        <v>3</v>
      </c>
      <c r="H19" s="8">
        <v>5</v>
      </c>
      <c r="I19" s="8">
        <v>5</v>
      </c>
      <c r="J19" s="8">
        <v>5</v>
      </c>
      <c r="K19" s="9">
        <v>5</v>
      </c>
      <c r="L19" s="9">
        <v>5</v>
      </c>
      <c r="M19" s="9">
        <f t="shared" si="3"/>
        <v>15</v>
      </c>
      <c r="N19" s="9">
        <f t="shared" si="4"/>
        <v>25</v>
      </c>
      <c r="P19" s="14">
        <v>2</v>
      </c>
      <c r="Q19" s="44" t="s">
        <v>20</v>
      </c>
      <c r="R19" s="45"/>
      <c r="S19" s="63" t="s">
        <v>2</v>
      </c>
      <c r="T19" s="64"/>
      <c r="U19" s="64"/>
      <c r="V19" s="64"/>
      <c r="W19" s="64"/>
      <c r="X19" s="64"/>
      <c r="Y19" s="64"/>
      <c r="Z19" s="64"/>
      <c r="AA19" s="64"/>
      <c r="AB19" s="64"/>
      <c r="AC19" s="65"/>
      <c r="AJ19" s="15"/>
    </row>
    <row r="20" spans="1:36">
      <c r="A20" s="5">
        <f t="shared" si="5"/>
        <v>12</v>
      </c>
      <c r="B20" s="6" t="s">
        <v>23</v>
      </c>
      <c r="C20" s="7">
        <f t="shared" si="0"/>
        <v>5</v>
      </c>
      <c r="D20" s="6" t="s">
        <v>17</v>
      </c>
      <c r="E20" s="8">
        <f t="shared" si="1"/>
        <v>1</v>
      </c>
      <c r="F20" s="6" t="s">
        <v>21</v>
      </c>
      <c r="G20" s="8">
        <f t="shared" si="2"/>
        <v>4</v>
      </c>
      <c r="H20" s="8">
        <v>5</v>
      </c>
      <c r="I20" s="8">
        <v>5</v>
      </c>
      <c r="J20" s="8">
        <v>5</v>
      </c>
      <c r="K20" s="9">
        <v>5</v>
      </c>
      <c r="L20" s="9">
        <v>5</v>
      </c>
      <c r="M20" s="9">
        <f t="shared" si="3"/>
        <v>15</v>
      </c>
      <c r="N20" s="9">
        <f t="shared" si="4"/>
        <v>25</v>
      </c>
      <c r="P20" s="66"/>
      <c r="Q20" s="5">
        <v>1</v>
      </c>
      <c r="R20" s="13"/>
      <c r="S20" s="68" t="s">
        <v>24</v>
      </c>
      <c r="T20" s="69"/>
      <c r="U20" s="69"/>
      <c r="V20" s="69"/>
      <c r="W20" s="69"/>
      <c r="X20" s="69"/>
      <c r="Y20" s="69"/>
      <c r="Z20" s="69"/>
      <c r="AA20" s="69"/>
      <c r="AB20" s="69"/>
      <c r="AC20" s="70"/>
      <c r="AJ20" s="15"/>
    </row>
    <row r="21" spans="1:36">
      <c r="A21" s="5">
        <f t="shared" si="5"/>
        <v>13</v>
      </c>
      <c r="B21" s="6" t="s">
        <v>22</v>
      </c>
      <c r="C21" s="7">
        <f t="shared" si="0"/>
        <v>4</v>
      </c>
      <c r="D21" s="6" t="s">
        <v>12</v>
      </c>
      <c r="E21" s="8">
        <f t="shared" si="1"/>
        <v>2</v>
      </c>
      <c r="F21" s="6" t="s">
        <v>15</v>
      </c>
      <c r="G21" s="8">
        <f t="shared" si="2"/>
        <v>5</v>
      </c>
      <c r="H21" s="8">
        <v>5</v>
      </c>
      <c r="I21" s="8">
        <v>5</v>
      </c>
      <c r="J21" s="8">
        <v>5</v>
      </c>
      <c r="K21" s="9">
        <v>5</v>
      </c>
      <c r="L21" s="9">
        <v>5</v>
      </c>
      <c r="M21" s="9">
        <f t="shared" si="3"/>
        <v>15</v>
      </c>
      <c r="N21" s="9">
        <f t="shared" si="4"/>
        <v>25</v>
      </c>
      <c r="P21" s="67"/>
      <c r="Q21" s="5">
        <v>2</v>
      </c>
      <c r="R21" s="13"/>
      <c r="S21" s="68" t="s">
        <v>12</v>
      </c>
      <c r="T21" s="69"/>
      <c r="U21" s="69"/>
      <c r="V21" s="69"/>
      <c r="W21" s="69"/>
      <c r="X21" s="69"/>
      <c r="Y21" s="69"/>
      <c r="Z21" s="69"/>
      <c r="AA21" s="69"/>
      <c r="AB21" s="69"/>
      <c r="AC21" s="70"/>
      <c r="AJ21" s="15"/>
    </row>
    <row r="22" spans="1:36">
      <c r="A22" s="5">
        <f t="shared" si="5"/>
        <v>14</v>
      </c>
      <c r="B22" s="6" t="s">
        <v>23</v>
      </c>
      <c r="C22" s="7">
        <f t="shared" si="0"/>
        <v>5</v>
      </c>
      <c r="D22" s="6" t="s">
        <v>12</v>
      </c>
      <c r="E22" s="8">
        <f t="shared" si="1"/>
        <v>2</v>
      </c>
      <c r="F22" s="6" t="s">
        <v>15</v>
      </c>
      <c r="G22" s="8">
        <f t="shared" si="2"/>
        <v>5</v>
      </c>
      <c r="H22" s="8">
        <v>5</v>
      </c>
      <c r="I22" s="8">
        <v>5</v>
      </c>
      <c r="J22" s="8">
        <v>5</v>
      </c>
      <c r="K22" s="9">
        <v>4</v>
      </c>
      <c r="L22" s="9">
        <v>5</v>
      </c>
      <c r="M22" s="9">
        <f t="shared" si="3"/>
        <v>14</v>
      </c>
      <c r="N22" s="9">
        <f t="shared" si="4"/>
        <v>24</v>
      </c>
      <c r="P22" s="16">
        <v>3</v>
      </c>
      <c r="Q22" s="44" t="s">
        <v>20</v>
      </c>
      <c r="R22" s="45"/>
      <c r="S22" s="63" t="s">
        <v>3</v>
      </c>
      <c r="T22" s="64"/>
      <c r="U22" s="64"/>
      <c r="V22" s="64"/>
      <c r="W22" s="64"/>
      <c r="X22" s="64"/>
      <c r="Y22" s="64"/>
      <c r="Z22" s="64"/>
      <c r="AA22" s="64"/>
      <c r="AB22" s="64"/>
      <c r="AC22" s="65"/>
    </row>
    <row r="23" spans="1:36">
      <c r="A23" s="5">
        <f t="shared" si="5"/>
        <v>15</v>
      </c>
      <c r="B23" s="6" t="s">
        <v>14</v>
      </c>
      <c r="C23" s="7">
        <f t="shared" si="0"/>
        <v>3</v>
      </c>
      <c r="D23" s="6" t="s">
        <v>17</v>
      </c>
      <c r="E23" s="8">
        <f t="shared" si="1"/>
        <v>1</v>
      </c>
      <c r="F23" s="6" t="s">
        <v>18</v>
      </c>
      <c r="G23" s="8">
        <f t="shared" si="2"/>
        <v>3</v>
      </c>
      <c r="H23" s="8">
        <v>5</v>
      </c>
      <c r="I23" s="8">
        <v>5</v>
      </c>
      <c r="J23" s="8">
        <v>5</v>
      </c>
      <c r="K23" s="9">
        <v>5</v>
      </c>
      <c r="L23" s="9">
        <v>5</v>
      </c>
      <c r="M23" s="9">
        <f t="shared" si="3"/>
        <v>15</v>
      </c>
      <c r="N23" s="9">
        <f t="shared" si="4"/>
        <v>25</v>
      </c>
      <c r="P23" s="47"/>
      <c r="Q23" s="5">
        <v>1</v>
      </c>
      <c r="R23" s="13"/>
      <c r="S23" s="60" t="s">
        <v>13</v>
      </c>
      <c r="T23" s="61"/>
      <c r="U23" s="61"/>
      <c r="V23" s="61"/>
      <c r="W23" s="61"/>
      <c r="X23" s="61"/>
      <c r="Y23" s="61"/>
      <c r="Z23" s="61"/>
      <c r="AA23" s="61"/>
      <c r="AB23" s="61"/>
      <c r="AC23" s="62"/>
    </row>
    <row r="24" spans="1:36">
      <c r="A24" s="5">
        <f t="shared" si="5"/>
        <v>16</v>
      </c>
      <c r="B24" s="6" t="s">
        <v>14</v>
      </c>
      <c r="C24" s="7">
        <f t="shared" si="0"/>
        <v>3</v>
      </c>
      <c r="D24" s="6" t="s">
        <v>12</v>
      </c>
      <c r="E24" s="8">
        <f t="shared" si="1"/>
        <v>2</v>
      </c>
      <c r="F24" s="6" t="s">
        <v>21</v>
      </c>
      <c r="G24" s="8">
        <f t="shared" si="2"/>
        <v>4</v>
      </c>
      <c r="H24" s="8">
        <v>5</v>
      </c>
      <c r="I24" s="8">
        <v>5</v>
      </c>
      <c r="J24" s="8">
        <v>5</v>
      </c>
      <c r="K24" s="9">
        <v>5</v>
      </c>
      <c r="L24" s="9">
        <v>5</v>
      </c>
      <c r="M24" s="9">
        <f t="shared" si="3"/>
        <v>15</v>
      </c>
      <c r="N24" s="9">
        <f t="shared" si="4"/>
        <v>25</v>
      </c>
      <c r="P24" s="48"/>
      <c r="Q24" s="5">
        <v>2</v>
      </c>
      <c r="R24" s="13"/>
      <c r="S24" s="60" t="s">
        <v>25</v>
      </c>
      <c r="T24" s="61"/>
      <c r="U24" s="61"/>
      <c r="V24" s="61"/>
      <c r="W24" s="61"/>
      <c r="X24" s="61"/>
      <c r="Y24" s="61"/>
      <c r="Z24" s="61"/>
      <c r="AA24" s="61"/>
      <c r="AB24" s="61"/>
      <c r="AC24" s="62"/>
    </row>
    <row r="25" spans="1:36">
      <c r="A25" s="5">
        <f t="shared" si="5"/>
        <v>17</v>
      </c>
      <c r="B25" s="6" t="s">
        <v>22</v>
      </c>
      <c r="C25" s="7">
        <f t="shared" si="0"/>
        <v>4</v>
      </c>
      <c r="D25" s="6" t="s">
        <v>17</v>
      </c>
      <c r="E25" s="8">
        <f t="shared" si="1"/>
        <v>1</v>
      </c>
      <c r="F25" s="6" t="s">
        <v>18</v>
      </c>
      <c r="G25" s="8">
        <f t="shared" si="2"/>
        <v>3</v>
      </c>
      <c r="H25" s="8">
        <v>5</v>
      </c>
      <c r="I25" s="8">
        <v>5</v>
      </c>
      <c r="J25" s="8">
        <v>5</v>
      </c>
      <c r="K25" s="9">
        <v>5</v>
      </c>
      <c r="L25" s="9">
        <v>5</v>
      </c>
      <c r="M25" s="9">
        <f t="shared" si="3"/>
        <v>15</v>
      </c>
      <c r="N25" s="9">
        <f t="shared" si="4"/>
        <v>25</v>
      </c>
      <c r="P25" s="48"/>
      <c r="Q25" s="5">
        <v>3</v>
      </c>
      <c r="R25" s="13"/>
      <c r="S25" s="60" t="s">
        <v>18</v>
      </c>
      <c r="T25" s="61"/>
      <c r="U25" s="61"/>
      <c r="V25" s="61"/>
      <c r="W25" s="61"/>
      <c r="X25" s="61"/>
      <c r="Y25" s="61"/>
      <c r="Z25" s="61"/>
      <c r="AA25" s="61"/>
      <c r="AB25" s="61"/>
      <c r="AC25" s="62"/>
    </row>
    <row r="26" spans="1:36">
      <c r="A26" s="5">
        <f t="shared" si="5"/>
        <v>18</v>
      </c>
      <c r="B26" s="6" t="s">
        <v>14</v>
      </c>
      <c r="C26" s="7">
        <f t="shared" si="0"/>
        <v>3</v>
      </c>
      <c r="D26" s="6" t="s">
        <v>17</v>
      </c>
      <c r="E26" s="8">
        <f t="shared" si="1"/>
        <v>1</v>
      </c>
      <c r="F26" s="6" t="s">
        <v>18</v>
      </c>
      <c r="G26" s="8">
        <f t="shared" si="2"/>
        <v>3</v>
      </c>
      <c r="H26" s="8">
        <v>5</v>
      </c>
      <c r="I26" s="8">
        <v>5</v>
      </c>
      <c r="J26" s="8">
        <v>5</v>
      </c>
      <c r="K26" s="9">
        <v>5</v>
      </c>
      <c r="L26" s="9">
        <v>5</v>
      </c>
      <c r="M26" s="9">
        <f t="shared" si="3"/>
        <v>15</v>
      </c>
      <c r="N26" s="9">
        <f t="shared" si="4"/>
        <v>25</v>
      </c>
      <c r="P26" s="48"/>
      <c r="Q26" s="8">
        <v>4</v>
      </c>
      <c r="R26" s="17"/>
      <c r="S26" s="60" t="s">
        <v>21</v>
      </c>
      <c r="T26" s="61"/>
      <c r="U26" s="61"/>
      <c r="V26" s="61"/>
      <c r="W26" s="61"/>
      <c r="X26" s="61"/>
      <c r="Y26" s="61"/>
      <c r="Z26" s="61"/>
      <c r="AA26" s="61"/>
      <c r="AB26" s="61"/>
      <c r="AC26" s="62"/>
    </row>
    <row r="27" spans="1:36">
      <c r="A27" s="5">
        <f t="shared" si="5"/>
        <v>19</v>
      </c>
      <c r="B27" s="6" t="s">
        <v>11</v>
      </c>
      <c r="C27" s="7">
        <f t="shared" si="0"/>
        <v>2</v>
      </c>
      <c r="D27" s="6" t="s">
        <v>17</v>
      </c>
      <c r="E27" s="8">
        <f t="shared" si="1"/>
        <v>1</v>
      </c>
      <c r="F27" s="6" t="s">
        <v>13</v>
      </c>
      <c r="G27" s="8">
        <f t="shared" si="2"/>
        <v>1</v>
      </c>
      <c r="H27" s="8">
        <v>5</v>
      </c>
      <c r="I27" s="8">
        <v>5</v>
      </c>
      <c r="J27" s="8">
        <v>5</v>
      </c>
      <c r="K27" s="9">
        <v>5</v>
      </c>
      <c r="L27" s="9">
        <v>5</v>
      </c>
      <c r="M27" s="9">
        <f t="shared" si="3"/>
        <v>15</v>
      </c>
      <c r="N27" s="9">
        <f t="shared" si="4"/>
        <v>25</v>
      </c>
      <c r="P27" s="49"/>
      <c r="Q27" s="8">
        <v>5</v>
      </c>
      <c r="R27" s="17"/>
      <c r="S27" s="60" t="s">
        <v>15</v>
      </c>
      <c r="T27" s="61"/>
      <c r="U27" s="61"/>
      <c r="V27" s="61"/>
      <c r="W27" s="61"/>
      <c r="X27" s="61"/>
      <c r="Y27" s="61"/>
      <c r="Z27" s="61"/>
      <c r="AA27" s="61"/>
      <c r="AB27" s="61"/>
      <c r="AC27" s="62"/>
    </row>
    <row r="28" spans="1:36">
      <c r="A28" s="5">
        <f t="shared" si="5"/>
        <v>20</v>
      </c>
      <c r="B28" s="6" t="s">
        <v>14</v>
      </c>
      <c r="C28" s="7">
        <f t="shared" si="0"/>
        <v>3</v>
      </c>
      <c r="D28" s="6" t="s">
        <v>17</v>
      </c>
      <c r="E28" s="8">
        <f t="shared" si="1"/>
        <v>1</v>
      </c>
      <c r="F28" s="6" t="s">
        <v>21</v>
      </c>
      <c r="G28" s="8">
        <f t="shared" si="2"/>
        <v>4</v>
      </c>
      <c r="H28" s="8">
        <v>5</v>
      </c>
      <c r="I28" s="8">
        <v>5</v>
      </c>
      <c r="J28" s="8">
        <v>5</v>
      </c>
      <c r="K28" s="9">
        <v>5</v>
      </c>
      <c r="L28" s="9">
        <v>5</v>
      </c>
      <c r="M28" s="9">
        <f t="shared" si="3"/>
        <v>15</v>
      </c>
      <c r="N28" s="9">
        <f t="shared" si="4"/>
        <v>25</v>
      </c>
      <c r="P28" s="16">
        <v>4</v>
      </c>
      <c r="Q28" s="44" t="s">
        <v>20</v>
      </c>
      <c r="R28" s="45"/>
      <c r="S28" s="44" t="s">
        <v>26</v>
      </c>
      <c r="T28" s="46"/>
      <c r="U28" s="46"/>
      <c r="V28" s="46"/>
      <c r="W28" s="46"/>
      <c r="X28" s="46"/>
      <c r="Y28" s="46"/>
      <c r="Z28" s="46"/>
      <c r="AA28" s="46"/>
      <c r="AB28" s="46"/>
      <c r="AC28" s="45"/>
    </row>
    <row r="29" spans="1:36">
      <c r="A29" s="5">
        <f t="shared" si="5"/>
        <v>21</v>
      </c>
      <c r="B29" s="6" t="s">
        <v>22</v>
      </c>
      <c r="C29" s="7">
        <f t="shared" si="0"/>
        <v>4</v>
      </c>
      <c r="D29" s="6" t="s">
        <v>17</v>
      </c>
      <c r="E29" s="8">
        <f t="shared" si="1"/>
        <v>1</v>
      </c>
      <c r="F29" s="6" t="s">
        <v>18</v>
      </c>
      <c r="G29" s="8">
        <f t="shared" si="2"/>
        <v>3</v>
      </c>
      <c r="H29" s="8">
        <v>5</v>
      </c>
      <c r="I29" s="8">
        <v>5</v>
      </c>
      <c r="J29" s="8">
        <v>5</v>
      </c>
      <c r="K29" s="9">
        <v>5</v>
      </c>
      <c r="L29" s="9">
        <v>5</v>
      </c>
      <c r="M29" s="9">
        <f t="shared" si="3"/>
        <v>15</v>
      </c>
      <c r="N29" s="9">
        <f t="shared" si="4"/>
        <v>25</v>
      </c>
      <c r="P29" s="47"/>
      <c r="Q29" s="5" t="s">
        <v>4</v>
      </c>
      <c r="R29" s="5"/>
      <c r="S29" s="18" t="s">
        <v>27</v>
      </c>
      <c r="T29" s="50" t="s">
        <v>28</v>
      </c>
      <c r="U29" s="51"/>
      <c r="V29" s="51"/>
      <c r="W29" s="51"/>
      <c r="X29" s="51"/>
      <c r="Y29" s="51"/>
      <c r="Z29" s="51"/>
      <c r="AA29" s="51"/>
      <c r="AB29" s="51"/>
      <c r="AC29" s="52"/>
    </row>
    <row r="30" spans="1:36">
      <c r="A30" s="5">
        <f t="shared" si="5"/>
        <v>22</v>
      </c>
      <c r="B30" s="6" t="s">
        <v>22</v>
      </c>
      <c r="C30" s="7">
        <f t="shared" si="0"/>
        <v>4</v>
      </c>
      <c r="D30" s="6" t="s">
        <v>12</v>
      </c>
      <c r="E30" s="8">
        <f t="shared" si="1"/>
        <v>2</v>
      </c>
      <c r="F30" s="6" t="s">
        <v>18</v>
      </c>
      <c r="G30" s="8">
        <f t="shared" si="2"/>
        <v>3</v>
      </c>
      <c r="H30" s="8">
        <v>4</v>
      </c>
      <c r="I30" s="8">
        <v>4</v>
      </c>
      <c r="J30" s="8">
        <v>4</v>
      </c>
      <c r="K30" s="9">
        <v>4</v>
      </c>
      <c r="L30" s="9">
        <v>5</v>
      </c>
      <c r="M30" s="9">
        <f t="shared" si="3"/>
        <v>13</v>
      </c>
      <c r="N30" s="9">
        <f t="shared" si="4"/>
        <v>21</v>
      </c>
      <c r="P30" s="48"/>
      <c r="Q30" s="5" t="s">
        <v>5</v>
      </c>
      <c r="R30" s="5"/>
      <c r="S30" s="5" t="s">
        <v>29</v>
      </c>
      <c r="T30" s="53" t="s">
        <v>30</v>
      </c>
      <c r="U30" s="54"/>
      <c r="V30" s="54"/>
      <c r="W30" s="54"/>
      <c r="X30" s="54"/>
      <c r="Y30" s="54"/>
      <c r="Z30" s="54"/>
      <c r="AA30" s="54"/>
      <c r="AB30" s="54"/>
      <c r="AC30" s="55"/>
    </row>
    <row r="31" spans="1:36">
      <c r="A31" s="5">
        <f t="shared" si="5"/>
        <v>23</v>
      </c>
      <c r="B31" s="6" t="s">
        <v>23</v>
      </c>
      <c r="C31" s="7">
        <f>IF(B31="&lt;20 Tahun",1,IF(B31="20 - 29 Tahun",2,IF(B31="30 - 39 Tahun",3,IF(B31="40 - 49 Tahun",4,IF(B31="≥50 Tahun",5,"")))))</f>
        <v>5</v>
      </c>
      <c r="D31" s="6" t="s">
        <v>17</v>
      </c>
      <c r="E31" s="8">
        <f t="shared" si="1"/>
        <v>1</v>
      </c>
      <c r="F31" s="6" t="s">
        <v>21</v>
      </c>
      <c r="G31" s="8">
        <f t="shared" si="2"/>
        <v>4</v>
      </c>
      <c r="H31" s="8">
        <v>5</v>
      </c>
      <c r="I31" s="8">
        <v>5</v>
      </c>
      <c r="J31" s="8">
        <v>5</v>
      </c>
      <c r="K31" s="9">
        <v>5</v>
      </c>
      <c r="L31" s="9">
        <v>5</v>
      </c>
      <c r="M31" s="9">
        <f t="shared" si="3"/>
        <v>15</v>
      </c>
      <c r="N31" s="9">
        <f t="shared" si="4"/>
        <v>25</v>
      </c>
      <c r="P31" s="48"/>
      <c r="Q31" s="56" t="s">
        <v>9</v>
      </c>
      <c r="R31" s="5" t="s">
        <v>6</v>
      </c>
      <c r="S31" s="57" t="s">
        <v>31</v>
      </c>
      <c r="T31" s="53" t="s">
        <v>32</v>
      </c>
      <c r="U31" s="54"/>
      <c r="V31" s="54"/>
      <c r="W31" s="54"/>
      <c r="X31" s="54"/>
      <c r="Y31" s="54"/>
      <c r="Z31" s="54"/>
      <c r="AA31" s="54"/>
      <c r="AB31" s="54"/>
      <c r="AC31" s="55"/>
    </row>
    <row r="32" spans="1:36">
      <c r="A32" s="5">
        <f t="shared" si="5"/>
        <v>24</v>
      </c>
      <c r="B32" s="6" t="s">
        <v>22</v>
      </c>
      <c r="C32" s="7">
        <f t="shared" si="0"/>
        <v>4</v>
      </c>
      <c r="D32" s="6" t="s">
        <v>12</v>
      </c>
      <c r="E32" s="8">
        <f t="shared" si="1"/>
        <v>2</v>
      </c>
      <c r="F32" s="6" t="s">
        <v>15</v>
      </c>
      <c r="G32" s="8">
        <f t="shared" si="2"/>
        <v>5</v>
      </c>
      <c r="H32" s="8">
        <v>5</v>
      </c>
      <c r="I32" s="8">
        <v>5</v>
      </c>
      <c r="J32" s="8">
        <v>5</v>
      </c>
      <c r="K32" s="9">
        <v>5</v>
      </c>
      <c r="L32" s="9">
        <v>5</v>
      </c>
      <c r="M32" s="9">
        <f t="shared" si="3"/>
        <v>15</v>
      </c>
      <c r="N32" s="9">
        <f t="shared" si="4"/>
        <v>25</v>
      </c>
      <c r="P32" s="48"/>
      <c r="Q32" s="56"/>
      <c r="R32" s="5" t="s">
        <v>7</v>
      </c>
      <c r="S32" s="58"/>
      <c r="T32" s="53" t="s">
        <v>33</v>
      </c>
      <c r="U32" s="54"/>
      <c r="V32" s="54"/>
      <c r="W32" s="54"/>
      <c r="X32" s="54"/>
      <c r="Y32" s="54"/>
      <c r="Z32" s="54"/>
      <c r="AA32" s="54"/>
      <c r="AB32" s="54"/>
      <c r="AC32" s="55"/>
    </row>
    <row r="33" spans="1:29">
      <c r="A33" s="5">
        <f t="shared" si="5"/>
        <v>25</v>
      </c>
      <c r="B33" s="6" t="s">
        <v>22</v>
      </c>
      <c r="C33" s="7">
        <f t="shared" si="0"/>
        <v>4</v>
      </c>
      <c r="D33" s="6" t="s">
        <v>12</v>
      </c>
      <c r="E33" s="8">
        <f t="shared" si="1"/>
        <v>2</v>
      </c>
      <c r="F33" s="6" t="s">
        <v>18</v>
      </c>
      <c r="G33" s="8">
        <f t="shared" si="2"/>
        <v>3</v>
      </c>
      <c r="H33" s="8">
        <v>5</v>
      </c>
      <c r="I33" s="8">
        <v>5</v>
      </c>
      <c r="J33" s="8">
        <v>5</v>
      </c>
      <c r="K33" s="9">
        <v>4</v>
      </c>
      <c r="L33" s="9">
        <v>5</v>
      </c>
      <c r="M33" s="9">
        <f t="shared" si="3"/>
        <v>14</v>
      </c>
      <c r="N33" s="9">
        <f t="shared" si="4"/>
        <v>24</v>
      </c>
      <c r="P33" s="49"/>
      <c r="Q33" s="56"/>
      <c r="R33" s="5" t="s">
        <v>8</v>
      </c>
      <c r="S33" s="59"/>
      <c r="T33" s="53" t="s">
        <v>34</v>
      </c>
      <c r="U33" s="54"/>
      <c r="V33" s="54"/>
      <c r="W33" s="54"/>
      <c r="X33" s="54"/>
      <c r="Y33" s="54"/>
      <c r="Z33" s="54"/>
      <c r="AA33" s="54"/>
      <c r="AB33" s="54"/>
      <c r="AC33" s="55"/>
    </row>
    <row r="34" spans="1:29">
      <c r="A34" s="5">
        <f t="shared" si="5"/>
        <v>26</v>
      </c>
      <c r="B34" s="6" t="s">
        <v>14</v>
      </c>
      <c r="C34" s="7">
        <f t="shared" si="0"/>
        <v>3</v>
      </c>
      <c r="D34" s="6" t="s">
        <v>12</v>
      </c>
      <c r="E34" s="8">
        <f t="shared" si="1"/>
        <v>2</v>
      </c>
      <c r="F34" s="6" t="s">
        <v>18</v>
      </c>
      <c r="G34" s="8">
        <f t="shared" si="2"/>
        <v>3</v>
      </c>
      <c r="H34" s="8">
        <v>4</v>
      </c>
      <c r="I34" s="8">
        <v>5</v>
      </c>
      <c r="J34" s="8">
        <v>5</v>
      </c>
      <c r="K34" s="9">
        <v>5</v>
      </c>
      <c r="L34" s="9">
        <v>5</v>
      </c>
      <c r="M34" s="9">
        <f t="shared" si="3"/>
        <v>15</v>
      </c>
      <c r="N34" s="9">
        <f t="shared" si="4"/>
        <v>24</v>
      </c>
    </row>
    <row r="35" spans="1:29">
      <c r="A35" s="5">
        <f t="shared" si="5"/>
        <v>27</v>
      </c>
      <c r="B35" s="6" t="s">
        <v>22</v>
      </c>
      <c r="C35" s="7">
        <f t="shared" si="0"/>
        <v>4</v>
      </c>
      <c r="D35" s="6" t="s">
        <v>12</v>
      </c>
      <c r="E35" s="8">
        <f t="shared" si="1"/>
        <v>2</v>
      </c>
      <c r="F35" s="6" t="s">
        <v>15</v>
      </c>
      <c r="G35" s="8">
        <f t="shared" si="2"/>
        <v>5</v>
      </c>
      <c r="H35" s="8">
        <v>5</v>
      </c>
      <c r="I35" s="8">
        <v>4</v>
      </c>
      <c r="J35" s="8">
        <v>5</v>
      </c>
      <c r="K35" s="9">
        <v>4</v>
      </c>
      <c r="L35" s="9">
        <v>5</v>
      </c>
      <c r="M35" s="9">
        <f t="shared" si="3"/>
        <v>14</v>
      </c>
      <c r="N35" s="9">
        <f t="shared" si="4"/>
        <v>23</v>
      </c>
      <c r="P35" s="39" t="s">
        <v>35</v>
      </c>
      <c r="Q35" s="39"/>
      <c r="R35" s="39"/>
      <c r="S35" s="39"/>
      <c r="T35" s="39"/>
      <c r="U35" s="39"/>
      <c r="V35" s="19"/>
    </row>
    <row r="36" spans="1:29">
      <c r="A36" s="5">
        <f t="shared" si="5"/>
        <v>28</v>
      </c>
      <c r="B36" s="6" t="s">
        <v>11</v>
      </c>
      <c r="C36" s="7">
        <f t="shared" si="0"/>
        <v>2</v>
      </c>
      <c r="D36" s="6" t="s">
        <v>12</v>
      </c>
      <c r="E36" s="8">
        <f t="shared" si="1"/>
        <v>2</v>
      </c>
      <c r="F36" s="6" t="s">
        <v>13</v>
      </c>
      <c r="G36" s="8">
        <f t="shared" si="2"/>
        <v>1</v>
      </c>
      <c r="H36" s="8">
        <v>3</v>
      </c>
      <c r="I36" s="8">
        <v>2</v>
      </c>
      <c r="J36" s="8">
        <v>3</v>
      </c>
      <c r="K36" s="9">
        <v>3</v>
      </c>
      <c r="L36" s="9">
        <v>3</v>
      </c>
      <c r="M36" s="9">
        <f t="shared" si="3"/>
        <v>9</v>
      </c>
      <c r="N36" s="9">
        <f t="shared" si="4"/>
        <v>14</v>
      </c>
      <c r="P36" s="40" t="s">
        <v>36</v>
      </c>
      <c r="Q36" s="40"/>
      <c r="R36" s="40"/>
      <c r="S36" s="40"/>
      <c r="T36" s="40"/>
      <c r="U36" s="40"/>
      <c r="V36" s="20"/>
    </row>
    <row r="37" spans="1:29">
      <c r="A37" s="5">
        <f t="shared" si="5"/>
        <v>29</v>
      </c>
      <c r="B37" s="6" t="s">
        <v>11</v>
      </c>
      <c r="C37" s="7">
        <f t="shared" si="0"/>
        <v>2</v>
      </c>
      <c r="D37" s="6" t="s">
        <v>12</v>
      </c>
      <c r="E37" s="8">
        <f t="shared" si="1"/>
        <v>2</v>
      </c>
      <c r="F37" s="6" t="s">
        <v>18</v>
      </c>
      <c r="G37" s="8">
        <f t="shared" si="2"/>
        <v>3</v>
      </c>
      <c r="H37" s="8">
        <v>4</v>
      </c>
      <c r="I37" s="8">
        <v>5</v>
      </c>
      <c r="J37" s="8">
        <v>5</v>
      </c>
      <c r="K37" s="9">
        <v>5</v>
      </c>
      <c r="L37" s="9">
        <v>4</v>
      </c>
      <c r="M37" s="9">
        <f t="shared" si="3"/>
        <v>14</v>
      </c>
      <c r="N37" s="9">
        <f t="shared" si="4"/>
        <v>23</v>
      </c>
      <c r="P37" s="40" t="s">
        <v>37</v>
      </c>
      <c r="Q37" s="40"/>
      <c r="R37" s="40"/>
      <c r="S37" s="40"/>
      <c r="T37" s="40"/>
      <c r="U37" s="40"/>
      <c r="V37" s="20"/>
    </row>
    <row r="38" spans="1:29">
      <c r="A38" s="5">
        <f t="shared" si="5"/>
        <v>30</v>
      </c>
      <c r="B38" s="6" t="s">
        <v>11</v>
      </c>
      <c r="C38" s="7">
        <f t="shared" si="0"/>
        <v>2</v>
      </c>
      <c r="D38" s="6" t="s">
        <v>17</v>
      </c>
      <c r="E38" s="8">
        <f t="shared" si="1"/>
        <v>1</v>
      </c>
      <c r="F38" s="6" t="s">
        <v>25</v>
      </c>
      <c r="G38" s="8">
        <f t="shared" si="2"/>
        <v>2</v>
      </c>
      <c r="H38" s="8">
        <v>5</v>
      </c>
      <c r="I38" s="8">
        <v>5</v>
      </c>
      <c r="J38" s="8">
        <v>5</v>
      </c>
      <c r="K38" s="9">
        <v>5</v>
      </c>
      <c r="L38" s="9">
        <v>5</v>
      </c>
      <c r="M38" s="9">
        <f t="shared" si="3"/>
        <v>15</v>
      </c>
      <c r="N38" s="9">
        <f t="shared" si="4"/>
        <v>25</v>
      </c>
    </row>
    <row r="39" spans="1:29">
      <c r="A39" s="5">
        <f t="shared" si="5"/>
        <v>31</v>
      </c>
      <c r="B39" s="6" t="s">
        <v>11</v>
      </c>
      <c r="C39" s="7">
        <f t="shared" si="0"/>
        <v>2</v>
      </c>
      <c r="D39" s="6" t="s">
        <v>17</v>
      </c>
      <c r="E39" s="8">
        <f t="shared" si="1"/>
        <v>1</v>
      </c>
      <c r="F39" s="6" t="s">
        <v>18</v>
      </c>
      <c r="G39" s="8">
        <f t="shared" si="2"/>
        <v>3</v>
      </c>
      <c r="H39" s="8">
        <v>5</v>
      </c>
      <c r="I39" s="8">
        <v>5</v>
      </c>
      <c r="J39" s="8">
        <v>5</v>
      </c>
      <c r="K39" s="9">
        <v>4</v>
      </c>
      <c r="L39" s="9">
        <v>5</v>
      </c>
      <c r="M39" s="9">
        <f t="shared" si="3"/>
        <v>14</v>
      </c>
      <c r="N39" s="9">
        <f t="shared" si="4"/>
        <v>24</v>
      </c>
    </row>
    <row r="40" spans="1:29">
      <c r="A40" s="5">
        <f t="shared" si="5"/>
        <v>32</v>
      </c>
      <c r="B40" s="6" t="s">
        <v>11</v>
      </c>
      <c r="C40" s="7">
        <f t="shared" si="0"/>
        <v>2</v>
      </c>
      <c r="D40" s="6" t="s">
        <v>12</v>
      </c>
      <c r="E40" s="8">
        <f>IF(D40="Laki-laki",1,IF(D40="Perempuan",2,""))</f>
        <v>2</v>
      </c>
      <c r="F40" s="6" t="s">
        <v>25</v>
      </c>
      <c r="G40" s="8">
        <f t="shared" si="2"/>
        <v>2</v>
      </c>
      <c r="H40" s="8">
        <v>5</v>
      </c>
      <c r="I40" s="8">
        <v>5</v>
      </c>
      <c r="J40" s="8">
        <v>5</v>
      </c>
      <c r="K40" s="9">
        <v>5</v>
      </c>
      <c r="L40" s="9">
        <v>5</v>
      </c>
      <c r="M40" s="9">
        <f t="shared" si="3"/>
        <v>15</v>
      </c>
      <c r="N40" s="9">
        <f t="shared" si="4"/>
        <v>25</v>
      </c>
      <c r="Q40" s="21" t="s">
        <v>38</v>
      </c>
      <c r="R40" s="21"/>
      <c r="S40" s="11"/>
      <c r="T40" s="11"/>
      <c r="U40" s="11"/>
      <c r="V40" s="22"/>
      <c r="W40" s="22"/>
      <c r="X40" s="4">
        <f>VAR(N9:N61)</f>
        <v>5.2162554426705334</v>
      </c>
    </row>
    <row r="41" spans="1:29">
      <c r="A41" s="5">
        <f t="shared" si="5"/>
        <v>33</v>
      </c>
      <c r="B41" s="6" t="s">
        <v>11</v>
      </c>
      <c r="C41" s="7">
        <f t="shared" si="0"/>
        <v>2</v>
      </c>
      <c r="D41" s="6" t="s">
        <v>17</v>
      </c>
      <c r="E41" s="8">
        <f t="shared" si="1"/>
        <v>1</v>
      </c>
      <c r="F41" s="6" t="s">
        <v>18</v>
      </c>
      <c r="G41" s="8">
        <f t="shared" si="2"/>
        <v>3</v>
      </c>
      <c r="H41" s="8">
        <v>5</v>
      </c>
      <c r="I41" s="8">
        <v>4</v>
      </c>
      <c r="J41" s="8">
        <v>4</v>
      </c>
      <c r="K41" s="9">
        <v>4</v>
      </c>
      <c r="L41" s="9">
        <v>5</v>
      </c>
      <c r="M41" s="9">
        <f t="shared" si="3"/>
        <v>13</v>
      </c>
      <c r="N41" s="9">
        <f t="shared" si="4"/>
        <v>22</v>
      </c>
      <c r="Q41" s="21" t="s">
        <v>39</v>
      </c>
      <c r="R41" s="21"/>
      <c r="S41" s="11">
        <f>VAR(H9:H61)</f>
        <v>0.27503628447024869</v>
      </c>
      <c r="T41" s="11">
        <f>VAR(I9:I61)</f>
        <v>0.32220609579100201</v>
      </c>
      <c r="U41" s="11">
        <f>VAR(J9:J61)</f>
        <v>0.27503628447024869</v>
      </c>
      <c r="V41" s="11">
        <f>VAR(K9:K61)</f>
        <v>0.35921625544267061</v>
      </c>
      <c r="W41" s="11">
        <f>VAR(L9:L61)</f>
        <v>0.3606676342525405</v>
      </c>
      <c r="X41" s="4">
        <f>SUM(S41:W41)</f>
        <v>1.5921625544267106</v>
      </c>
    </row>
    <row r="42" spans="1:29">
      <c r="A42" s="5">
        <f t="shared" si="5"/>
        <v>34</v>
      </c>
      <c r="B42" s="6" t="s">
        <v>11</v>
      </c>
      <c r="C42" s="7">
        <f t="shared" si="0"/>
        <v>2</v>
      </c>
      <c r="D42" s="6" t="s">
        <v>12</v>
      </c>
      <c r="E42" s="8">
        <f t="shared" si="1"/>
        <v>2</v>
      </c>
      <c r="F42" s="6" t="s">
        <v>25</v>
      </c>
      <c r="G42" s="8">
        <f t="shared" si="2"/>
        <v>2</v>
      </c>
      <c r="H42" s="8">
        <v>5</v>
      </c>
      <c r="I42" s="8">
        <v>4</v>
      </c>
      <c r="J42" s="8">
        <v>5</v>
      </c>
      <c r="K42" s="9">
        <v>5</v>
      </c>
      <c r="L42" s="9">
        <v>5</v>
      </c>
      <c r="M42" s="9">
        <f t="shared" si="3"/>
        <v>15</v>
      </c>
      <c r="N42" s="9">
        <f t="shared" si="4"/>
        <v>24</v>
      </c>
      <c r="S42" s="11"/>
      <c r="T42" s="11"/>
      <c r="U42" s="11"/>
      <c r="V42" s="22"/>
      <c r="W42" s="22"/>
      <c r="X42" s="22"/>
    </row>
    <row r="43" spans="1:29">
      <c r="A43" s="5">
        <f t="shared" si="5"/>
        <v>35</v>
      </c>
      <c r="B43" s="6" t="s">
        <v>16</v>
      </c>
      <c r="C43" s="7">
        <f t="shared" si="0"/>
        <v>1</v>
      </c>
      <c r="D43" s="6" t="s">
        <v>12</v>
      </c>
      <c r="E43" s="8">
        <f t="shared" si="1"/>
        <v>2</v>
      </c>
      <c r="F43" s="6" t="s">
        <v>13</v>
      </c>
      <c r="G43" s="8">
        <f t="shared" si="2"/>
        <v>1</v>
      </c>
      <c r="H43" s="8">
        <v>5</v>
      </c>
      <c r="I43" s="8">
        <v>5</v>
      </c>
      <c r="J43" s="8">
        <v>5</v>
      </c>
      <c r="K43" s="9">
        <v>5</v>
      </c>
      <c r="L43" s="9">
        <v>5</v>
      </c>
      <c r="M43" s="9">
        <f t="shared" si="3"/>
        <v>15</v>
      </c>
      <c r="N43" s="9">
        <f t="shared" si="4"/>
        <v>25</v>
      </c>
      <c r="S43" s="21" t="s">
        <v>40</v>
      </c>
      <c r="T43" s="11"/>
      <c r="U43" s="11"/>
      <c r="V43" s="22"/>
      <c r="W43" s="22"/>
      <c r="X43" s="22">
        <f>(5/(5-1))*((1-(X41/X40)))</f>
        <v>0.86846132442960333</v>
      </c>
    </row>
    <row r="44" spans="1:29">
      <c r="A44" s="5">
        <f t="shared" si="5"/>
        <v>36</v>
      </c>
      <c r="B44" s="6" t="s">
        <v>16</v>
      </c>
      <c r="C44" s="7">
        <f t="shared" si="0"/>
        <v>1</v>
      </c>
      <c r="D44" s="6" t="s">
        <v>12</v>
      </c>
      <c r="E44" s="8">
        <f t="shared" si="1"/>
        <v>2</v>
      </c>
      <c r="F44" s="6" t="s">
        <v>13</v>
      </c>
      <c r="G44" s="8">
        <f t="shared" si="2"/>
        <v>1</v>
      </c>
      <c r="H44" s="8">
        <v>5</v>
      </c>
      <c r="I44" s="8">
        <v>4</v>
      </c>
      <c r="J44" s="8">
        <v>4</v>
      </c>
      <c r="K44" s="9">
        <v>4</v>
      </c>
      <c r="L44" s="9">
        <v>4</v>
      </c>
      <c r="M44" s="9">
        <f t="shared" si="3"/>
        <v>12</v>
      </c>
      <c r="N44" s="9">
        <f t="shared" si="4"/>
        <v>21</v>
      </c>
      <c r="S44" s="21" t="s">
        <v>41</v>
      </c>
      <c r="T44" s="11"/>
      <c r="U44" s="11"/>
      <c r="V44" s="22"/>
      <c r="W44" s="22"/>
      <c r="X44" s="22">
        <v>0.6</v>
      </c>
    </row>
    <row r="45" spans="1:29">
      <c r="A45" s="5">
        <f t="shared" si="5"/>
        <v>37</v>
      </c>
      <c r="B45" s="6" t="s">
        <v>11</v>
      </c>
      <c r="C45" s="7">
        <f t="shared" si="0"/>
        <v>2</v>
      </c>
      <c r="D45" s="6" t="s">
        <v>17</v>
      </c>
      <c r="E45" s="8">
        <f t="shared" si="1"/>
        <v>1</v>
      </c>
      <c r="F45" s="6" t="s">
        <v>18</v>
      </c>
      <c r="G45" s="8">
        <f t="shared" si="2"/>
        <v>3</v>
      </c>
      <c r="H45" s="8">
        <v>5</v>
      </c>
      <c r="I45" s="8">
        <v>5</v>
      </c>
      <c r="J45" s="8">
        <v>4</v>
      </c>
      <c r="K45" s="9">
        <v>5</v>
      </c>
      <c r="L45" s="9">
        <v>5</v>
      </c>
      <c r="M45" s="9">
        <f t="shared" si="3"/>
        <v>14</v>
      </c>
      <c r="N45" s="9">
        <f t="shared" si="4"/>
        <v>24</v>
      </c>
      <c r="S45" s="21" t="s">
        <v>42</v>
      </c>
      <c r="T45" s="11"/>
      <c r="U45" s="11"/>
      <c r="V45" s="22"/>
      <c r="W45" s="22"/>
      <c r="X45" s="4" t="s">
        <v>43</v>
      </c>
    </row>
    <row r="46" spans="1:29">
      <c r="A46" s="5">
        <f t="shared" si="5"/>
        <v>38</v>
      </c>
      <c r="B46" s="6" t="s">
        <v>16</v>
      </c>
      <c r="C46" s="7">
        <f t="shared" si="0"/>
        <v>1</v>
      </c>
      <c r="D46" s="6" t="s">
        <v>12</v>
      </c>
      <c r="E46" s="8">
        <f t="shared" si="1"/>
        <v>2</v>
      </c>
      <c r="F46" s="6" t="s">
        <v>13</v>
      </c>
      <c r="G46" s="8">
        <f t="shared" si="2"/>
        <v>1</v>
      </c>
      <c r="H46" s="8">
        <v>4</v>
      </c>
      <c r="I46" s="8">
        <v>4</v>
      </c>
      <c r="J46" s="8">
        <v>4</v>
      </c>
      <c r="K46" s="9">
        <v>4</v>
      </c>
      <c r="L46" s="9">
        <v>5</v>
      </c>
      <c r="M46" s="9">
        <f t="shared" si="3"/>
        <v>13</v>
      </c>
      <c r="N46" s="9">
        <f t="shared" si="4"/>
        <v>21</v>
      </c>
      <c r="S46" s="21"/>
      <c r="T46" s="11"/>
      <c r="U46" s="11"/>
      <c r="V46" s="22"/>
      <c r="W46" s="22"/>
      <c r="X46" s="4"/>
    </row>
    <row r="47" spans="1:29">
      <c r="A47" s="5">
        <f t="shared" si="5"/>
        <v>39</v>
      </c>
      <c r="B47" s="6" t="s">
        <v>11</v>
      </c>
      <c r="C47" s="7">
        <f t="shared" si="0"/>
        <v>2</v>
      </c>
      <c r="D47" s="6" t="s">
        <v>17</v>
      </c>
      <c r="E47" s="8">
        <f t="shared" si="1"/>
        <v>1</v>
      </c>
      <c r="F47" s="6" t="s">
        <v>25</v>
      </c>
      <c r="G47" s="8">
        <f t="shared" si="2"/>
        <v>2</v>
      </c>
      <c r="H47" s="8">
        <v>5</v>
      </c>
      <c r="I47" s="8">
        <v>4</v>
      </c>
      <c r="J47" s="8">
        <v>5</v>
      </c>
      <c r="K47" s="9">
        <v>4</v>
      </c>
      <c r="L47" s="9">
        <v>4</v>
      </c>
      <c r="M47" s="9">
        <f t="shared" si="3"/>
        <v>13</v>
      </c>
      <c r="N47" s="9">
        <f t="shared" si="4"/>
        <v>22</v>
      </c>
      <c r="P47" s="41" t="s">
        <v>44</v>
      </c>
      <c r="Q47" s="42"/>
      <c r="R47" s="42"/>
      <c r="S47" s="42"/>
      <c r="T47" s="42"/>
      <c r="U47" s="42"/>
      <c r="V47" s="42"/>
      <c r="W47" s="43"/>
      <c r="X47" s="4"/>
    </row>
    <row r="48" spans="1:29" ht="13.5" thickBot="1">
      <c r="A48" s="5">
        <f t="shared" si="5"/>
        <v>40</v>
      </c>
      <c r="B48" s="6" t="s">
        <v>11</v>
      </c>
      <c r="C48" s="7">
        <f t="shared" si="0"/>
        <v>2</v>
      </c>
      <c r="D48" s="6" t="s">
        <v>17</v>
      </c>
      <c r="E48" s="8">
        <f t="shared" si="1"/>
        <v>1</v>
      </c>
      <c r="F48" s="6" t="s">
        <v>25</v>
      </c>
      <c r="G48" s="8">
        <f t="shared" si="2"/>
        <v>2</v>
      </c>
      <c r="H48" s="8">
        <v>4</v>
      </c>
      <c r="I48" s="8">
        <v>5</v>
      </c>
      <c r="J48" s="8">
        <v>5</v>
      </c>
      <c r="K48" s="9">
        <v>3</v>
      </c>
      <c r="L48" s="9">
        <v>5</v>
      </c>
      <c r="M48" s="9">
        <f t="shared" si="3"/>
        <v>13</v>
      </c>
      <c r="N48" s="9">
        <f t="shared" si="4"/>
        <v>22</v>
      </c>
    </row>
    <row r="49" spans="1:23" ht="14.5">
      <c r="A49" s="5">
        <f t="shared" si="5"/>
        <v>41</v>
      </c>
      <c r="B49" s="6" t="s">
        <v>11</v>
      </c>
      <c r="C49" s="7">
        <f t="shared" si="0"/>
        <v>2</v>
      </c>
      <c r="D49" s="6" t="s">
        <v>12</v>
      </c>
      <c r="E49" s="8">
        <f t="shared" si="1"/>
        <v>2</v>
      </c>
      <c r="F49" s="6" t="s">
        <v>25</v>
      </c>
      <c r="G49" s="8">
        <f t="shared" si="2"/>
        <v>2</v>
      </c>
      <c r="H49" s="8">
        <v>5</v>
      </c>
      <c r="I49" s="8">
        <v>5</v>
      </c>
      <c r="J49" s="8">
        <v>5</v>
      </c>
      <c r="K49" s="9">
        <v>5</v>
      </c>
      <c r="L49" s="9">
        <v>5</v>
      </c>
      <c r="M49" s="9">
        <f t="shared" si="3"/>
        <v>15</v>
      </c>
      <c r="N49" s="9">
        <f t="shared" si="4"/>
        <v>25</v>
      </c>
      <c r="P49" s="38" t="s">
        <v>303</v>
      </c>
      <c r="Q49" s="38"/>
      <c r="R49" s="10"/>
      <c r="S49" s="23" t="s">
        <v>304</v>
      </c>
      <c r="T49" s="23"/>
      <c r="V49" s="23" t="s">
        <v>305</v>
      </c>
      <c r="W49" s="23"/>
    </row>
    <row r="50" spans="1:23" ht="14.5">
      <c r="A50" s="5">
        <f t="shared" si="5"/>
        <v>42</v>
      </c>
      <c r="B50" s="6" t="s">
        <v>14</v>
      </c>
      <c r="C50" s="7">
        <f t="shared" si="0"/>
        <v>3</v>
      </c>
      <c r="D50" s="6" t="s">
        <v>17</v>
      </c>
      <c r="E50" s="8">
        <f t="shared" si="1"/>
        <v>1</v>
      </c>
      <c r="F50" s="6" t="s">
        <v>21</v>
      </c>
      <c r="G50" s="8">
        <f t="shared" si="2"/>
        <v>4</v>
      </c>
      <c r="H50" s="8">
        <v>5</v>
      </c>
      <c r="I50" s="8">
        <v>5</v>
      </c>
      <c r="J50" s="8">
        <v>5</v>
      </c>
      <c r="K50" s="9">
        <v>5</v>
      </c>
      <c r="L50" s="9">
        <v>5</v>
      </c>
      <c r="M50" s="9">
        <f t="shared" si="3"/>
        <v>15</v>
      </c>
      <c r="N50" s="9">
        <f t="shared" si="4"/>
        <v>25</v>
      </c>
      <c r="P50"/>
      <c r="Q50"/>
      <c r="R50" s="10"/>
      <c r="S50"/>
      <c r="T50"/>
      <c r="V50"/>
      <c r="W50"/>
    </row>
    <row r="51" spans="1:23" ht="14.5">
      <c r="A51" s="5">
        <f t="shared" si="5"/>
        <v>43</v>
      </c>
      <c r="B51" s="6" t="s">
        <v>14</v>
      </c>
      <c r="C51" s="7">
        <f t="shared" si="0"/>
        <v>3</v>
      </c>
      <c r="D51" s="6" t="s">
        <v>17</v>
      </c>
      <c r="E51" s="8">
        <f t="shared" si="1"/>
        <v>1</v>
      </c>
      <c r="F51" s="6" t="s">
        <v>21</v>
      </c>
      <c r="G51" s="8">
        <f t="shared" si="2"/>
        <v>4</v>
      </c>
      <c r="H51" s="8">
        <v>5</v>
      </c>
      <c r="I51" s="8">
        <v>5</v>
      </c>
      <c r="J51" s="8">
        <v>5</v>
      </c>
      <c r="K51" s="9">
        <v>5</v>
      </c>
      <c r="L51" s="9">
        <v>5</v>
      </c>
      <c r="M51" s="9">
        <f t="shared" si="3"/>
        <v>15</v>
      </c>
      <c r="N51" s="9">
        <f t="shared" si="4"/>
        <v>25</v>
      </c>
      <c r="P51" t="s">
        <v>45</v>
      </c>
      <c r="Q51">
        <v>4.7358490566037732</v>
      </c>
      <c r="R51" s="10"/>
      <c r="S51" t="s">
        <v>45</v>
      </c>
      <c r="T51">
        <v>4.716981132075472</v>
      </c>
      <c r="V51" t="s">
        <v>45</v>
      </c>
      <c r="W51">
        <v>14.056603773584905</v>
      </c>
    </row>
    <row r="52" spans="1:23" ht="14.5">
      <c r="A52" s="5">
        <f t="shared" si="5"/>
        <v>44</v>
      </c>
      <c r="B52" s="6" t="s">
        <v>11</v>
      </c>
      <c r="C52" s="7">
        <f t="shared" si="0"/>
        <v>2</v>
      </c>
      <c r="D52" s="6" t="s">
        <v>12</v>
      </c>
      <c r="E52" s="8">
        <f t="shared" si="1"/>
        <v>2</v>
      </c>
      <c r="F52" s="6" t="s">
        <v>13</v>
      </c>
      <c r="G52" s="8">
        <f t="shared" si="2"/>
        <v>1</v>
      </c>
      <c r="H52" s="8">
        <v>5</v>
      </c>
      <c r="I52" s="8">
        <v>5</v>
      </c>
      <c r="J52" s="8">
        <v>5</v>
      </c>
      <c r="K52" s="9">
        <v>5</v>
      </c>
      <c r="L52" s="9">
        <v>5</v>
      </c>
      <c r="M52" s="9">
        <f t="shared" si="3"/>
        <v>15</v>
      </c>
      <c r="N52" s="9">
        <f t="shared" si="4"/>
        <v>25</v>
      </c>
      <c r="P52" t="s">
        <v>46</v>
      </c>
      <c r="Q52">
        <v>7.2037239383038687E-2</v>
      </c>
      <c r="R52" s="10"/>
      <c r="S52" t="s">
        <v>46</v>
      </c>
      <c r="T52">
        <v>7.7970252647682453E-2</v>
      </c>
      <c r="V52" t="s">
        <v>46</v>
      </c>
      <c r="W52">
        <v>0.19688262499735953</v>
      </c>
    </row>
    <row r="53" spans="1:23" ht="14.5">
      <c r="A53" s="5">
        <f t="shared" si="5"/>
        <v>45</v>
      </c>
      <c r="B53" s="6" t="s">
        <v>11</v>
      </c>
      <c r="C53" s="7">
        <f t="shared" si="0"/>
        <v>2</v>
      </c>
      <c r="D53" s="6" t="s">
        <v>17</v>
      </c>
      <c r="E53" s="8">
        <f t="shared" si="1"/>
        <v>1</v>
      </c>
      <c r="F53" s="6" t="s">
        <v>13</v>
      </c>
      <c r="G53" s="8">
        <f t="shared" si="2"/>
        <v>1</v>
      </c>
      <c r="H53" s="8">
        <v>5</v>
      </c>
      <c r="I53" s="8">
        <v>4</v>
      </c>
      <c r="J53" s="8">
        <v>4</v>
      </c>
      <c r="K53" s="9">
        <v>4</v>
      </c>
      <c r="L53" s="9">
        <v>4</v>
      </c>
      <c r="M53" s="9">
        <f t="shared" si="3"/>
        <v>12</v>
      </c>
      <c r="N53" s="9">
        <f t="shared" si="4"/>
        <v>21</v>
      </c>
      <c r="P53" t="s">
        <v>47</v>
      </c>
      <c r="Q53">
        <v>5</v>
      </c>
      <c r="R53" s="10"/>
      <c r="S53" t="s">
        <v>47</v>
      </c>
      <c r="T53">
        <v>5</v>
      </c>
      <c r="V53" t="s">
        <v>47</v>
      </c>
      <c r="W53">
        <v>15</v>
      </c>
    </row>
    <row r="54" spans="1:23" ht="14.5">
      <c r="A54" s="5">
        <f t="shared" si="5"/>
        <v>46</v>
      </c>
      <c r="B54" s="6" t="s">
        <v>11</v>
      </c>
      <c r="C54" s="7">
        <f t="shared" si="0"/>
        <v>2</v>
      </c>
      <c r="D54" s="6" t="s">
        <v>12</v>
      </c>
      <c r="E54" s="8">
        <f t="shared" si="1"/>
        <v>2</v>
      </c>
      <c r="F54" s="6" t="s">
        <v>13</v>
      </c>
      <c r="G54" s="8">
        <f t="shared" si="2"/>
        <v>1</v>
      </c>
      <c r="H54" s="8">
        <v>5</v>
      </c>
      <c r="I54" s="8">
        <v>5</v>
      </c>
      <c r="J54" s="8">
        <v>5</v>
      </c>
      <c r="K54" s="9">
        <v>5</v>
      </c>
      <c r="L54" s="9">
        <v>5</v>
      </c>
      <c r="M54" s="9">
        <f t="shared" si="3"/>
        <v>15</v>
      </c>
      <c r="N54" s="9">
        <f t="shared" si="4"/>
        <v>25</v>
      </c>
      <c r="P54" t="s">
        <v>48</v>
      </c>
      <c r="Q54">
        <v>5</v>
      </c>
      <c r="R54" s="10"/>
      <c r="S54" t="s">
        <v>48</v>
      </c>
      <c r="T54">
        <v>5</v>
      </c>
      <c r="V54" t="s">
        <v>48</v>
      </c>
      <c r="W54">
        <v>15</v>
      </c>
    </row>
    <row r="55" spans="1:23" ht="14.5">
      <c r="A55" s="5">
        <f t="shared" si="5"/>
        <v>47</v>
      </c>
      <c r="B55" s="6" t="s">
        <v>11</v>
      </c>
      <c r="C55" s="7">
        <f t="shared" si="0"/>
        <v>2</v>
      </c>
      <c r="D55" s="6" t="s">
        <v>17</v>
      </c>
      <c r="E55" s="8">
        <f t="shared" si="1"/>
        <v>1</v>
      </c>
      <c r="F55" s="6" t="s">
        <v>25</v>
      </c>
      <c r="G55" s="8">
        <f t="shared" si="2"/>
        <v>2</v>
      </c>
      <c r="H55" s="8">
        <v>5</v>
      </c>
      <c r="I55" s="8">
        <v>5</v>
      </c>
      <c r="J55" s="8">
        <v>5</v>
      </c>
      <c r="K55" s="9">
        <v>4</v>
      </c>
      <c r="L55" s="9">
        <v>5</v>
      </c>
      <c r="M55" s="9">
        <f t="shared" si="3"/>
        <v>14</v>
      </c>
      <c r="N55" s="9">
        <f t="shared" si="4"/>
        <v>24</v>
      </c>
      <c r="P55" t="s">
        <v>49</v>
      </c>
      <c r="Q55">
        <v>0.52443901882892796</v>
      </c>
      <c r="R55" s="10"/>
      <c r="S55" t="s">
        <v>49</v>
      </c>
      <c r="T55">
        <v>0.56763200737009356</v>
      </c>
      <c r="V55" t="s">
        <v>49</v>
      </c>
      <c r="W55">
        <v>1.433327145270785</v>
      </c>
    </row>
    <row r="56" spans="1:23" ht="14.5">
      <c r="A56" s="5">
        <f t="shared" si="5"/>
        <v>48</v>
      </c>
      <c r="B56" s="6" t="s">
        <v>11</v>
      </c>
      <c r="C56" s="7">
        <f t="shared" si="0"/>
        <v>2</v>
      </c>
      <c r="D56" s="6" t="s">
        <v>12</v>
      </c>
      <c r="E56" s="8">
        <f t="shared" si="1"/>
        <v>2</v>
      </c>
      <c r="F56" s="6" t="s">
        <v>18</v>
      </c>
      <c r="G56" s="8">
        <f t="shared" si="2"/>
        <v>3</v>
      </c>
      <c r="H56" s="8">
        <v>5</v>
      </c>
      <c r="I56" s="8">
        <v>5</v>
      </c>
      <c r="J56" s="8">
        <v>5</v>
      </c>
      <c r="K56" s="9">
        <v>5</v>
      </c>
      <c r="L56" s="9">
        <v>5</v>
      </c>
      <c r="M56" s="9">
        <f t="shared" si="3"/>
        <v>15</v>
      </c>
      <c r="N56" s="9">
        <f t="shared" si="4"/>
        <v>25</v>
      </c>
      <c r="P56" t="s">
        <v>50</v>
      </c>
      <c r="Q56">
        <v>0.27503628447024869</v>
      </c>
      <c r="R56" s="10"/>
      <c r="S56" t="s">
        <v>50</v>
      </c>
      <c r="T56">
        <v>0.32220609579100201</v>
      </c>
      <c r="V56" t="s">
        <v>50</v>
      </c>
      <c r="W56">
        <v>2.0544267053700982</v>
      </c>
    </row>
    <row r="57" spans="1:23" ht="14.5">
      <c r="A57" s="5">
        <f t="shared" si="5"/>
        <v>49</v>
      </c>
      <c r="B57" s="6" t="s">
        <v>11</v>
      </c>
      <c r="C57" s="7">
        <f t="shared" si="0"/>
        <v>2</v>
      </c>
      <c r="D57" s="6" t="s">
        <v>17</v>
      </c>
      <c r="E57" s="8">
        <f t="shared" si="1"/>
        <v>1</v>
      </c>
      <c r="F57" s="6" t="s">
        <v>25</v>
      </c>
      <c r="G57" s="8">
        <f t="shared" si="2"/>
        <v>2</v>
      </c>
      <c r="H57" s="8">
        <v>5</v>
      </c>
      <c r="I57" s="8">
        <v>5</v>
      </c>
      <c r="J57" s="8">
        <v>5</v>
      </c>
      <c r="K57" s="9">
        <v>5</v>
      </c>
      <c r="L57" s="9">
        <v>5</v>
      </c>
      <c r="M57" s="9">
        <f t="shared" si="3"/>
        <v>15</v>
      </c>
      <c r="N57" s="9">
        <f t="shared" si="4"/>
        <v>25</v>
      </c>
      <c r="P57" t="s">
        <v>51</v>
      </c>
      <c r="Q57">
        <v>2.8934706091206963</v>
      </c>
      <c r="R57" s="10"/>
      <c r="S57" t="s">
        <v>51</v>
      </c>
      <c r="T57">
        <v>8.8608129592231197</v>
      </c>
      <c r="V57" t="s">
        <v>51</v>
      </c>
      <c r="W57">
        <v>4.3884173712439232</v>
      </c>
    </row>
    <row r="58" spans="1:23" ht="14.5">
      <c r="A58" s="5">
        <f t="shared" si="5"/>
        <v>50</v>
      </c>
      <c r="B58" s="6" t="s">
        <v>11</v>
      </c>
      <c r="C58" s="7">
        <f t="shared" si="0"/>
        <v>2</v>
      </c>
      <c r="D58" s="6" t="s">
        <v>17</v>
      </c>
      <c r="E58" s="8">
        <f t="shared" si="1"/>
        <v>1</v>
      </c>
      <c r="F58" s="6" t="s">
        <v>13</v>
      </c>
      <c r="G58" s="8">
        <f t="shared" si="2"/>
        <v>1</v>
      </c>
      <c r="H58" s="8">
        <v>5</v>
      </c>
      <c r="I58" s="8">
        <v>5</v>
      </c>
      <c r="J58" s="8">
        <v>5</v>
      </c>
      <c r="K58" s="9">
        <v>5</v>
      </c>
      <c r="L58" s="9">
        <v>5</v>
      </c>
      <c r="M58" s="9">
        <f t="shared" si="3"/>
        <v>15</v>
      </c>
      <c r="N58" s="9">
        <f t="shared" si="4"/>
        <v>25</v>
      </c>
      <c r="P58" t="s">
        <v>52</v>
      </c>
      <c r="Q58">
        <v>-1.8967371218227382</v>
      </c>
      <c r="R58" s="10"/>
      <c r="S58" t="s">
        <v>52</v>
      </c>
      <c r="T58">
        <v>-2.5758046569037694</v>
      </c>
      <c r="V58" t="s">
        <v>52</v>
      </c>
      <c r="W58">
        <v>-2.0167077408303813</v>
      </c>
    </row>
    <row r="59" spans="1:23" ht="14.5">
      <c r="A59" s="5">
        <f t="shared" si="5"/>
        <v>51</v>
      </c>
      <c r="B59" s="6" t="s">
        <v>11</v>
      </c>
      <c r="C59" s="7">
        <f t="shared" si="0"/>
        <v>2</v>
      </c>
      <c r="D59" s="6" t="s">
        <v>17</v>
      </c>
      <c r="E59" s="8">
        <f t="shared" si="1"/>
        <v>1</v>
      </c>
      <c r="F59" s="6" t="s">
        <v>13</v>
      </c>
      <c r="G59" s="8">
        <f t="shared" si="2"/>
        <v>1</v>
      </c>
      <c r="H59" s="8">
        <v>5</v>
      </c>
      <c r="I59" s="8">
        <v>5</v>
      </c>
      <c r="J59" s="8">
        <v>5</v>
      </c>
      <c r="K59" s="9">
        <v>5</v>
      </c>
      <c r="L59" s="9">
        <v>5</v>
      </c>
      <c r="M59" s="9">
        <f t="shared" si="3"/>
        <v>15</v>
      </c>
      <c r="N59" s="9">
        <f t="shared" si="4"/>
        <v>25</v>
      </c>
      <c r="P59" t="s">
        <v>53</v>
      </c>
      <c r="Q59">
        <v>2</v>
      </c>
      <c r="R59" s="10"/>
      <c r="S59" t="s">
        <v>53</v>
      </c>
      <c r="T59">
        <v>3</v>
      </c>
      <c r="V59" t="s">
        <v>53</v>
      </c>
      <c r="W59">
        <v>6</v>
      </c>
    </row>
    <row r="60" spans="1:23" ht="14.5">
      <c r="A60" s="5">
        <f t="shared" si="5"/>
        <v>52</v>
      </c>
      <c r="B60" s="6" t="s">
        <v>14</v>
      </c>
      <c r="C60" s="7">
        <f t="shared" si="0"/>
        <v>3</v>
      </c>
      <c r="D60" s="6" t="s">
        <v>12</v>
      </c>
      <c r="E60" s="8">
        <f t="shared" si="1"/>
        <v>2</v>
      </c>
      <c r="F60" s="6" t="s">
        <v>18</v>
      </c>
      <c r="G60" s="8">
        <f t="shared" si="2"/>
        <v>3</v>
      </c>
      <c r="H60" s="8">
        <v>5</v>
      </c>
      <c r="I60" s="8">
        <v>5</v>
      </c>
      <c r="J60" s="8">
        <v>5</v>
      </c>
      <c r="K60" s="9">
        <v>4</v>
      </c>
      <c r="L60" s="9">
        <v>5</v>
      </c>
      <c r="M60" s="9">
        <f t="shared" si="3"/>
        <v>14</v>
      </c>
      <c r="N60" s="9">
        <f t="shared" si="4"/>
        <v>24</v>
      </c>
      <c r="P60" t="s">
        <v>54</v>
      </c>
      <c r="Q60">
        <v>3</v>
      </c>
      <c r="R60" s="10"/>
      <c r="S60" t="s">
        <v>54</v>
      </c>
      <c r="T60">
        <v>2</v>
      </c>
      <c r="V60" t="s">
        <v>54</v>
      </c>
      <c r="W60">
        <v>9</v>
      </c>
    </row>
    <row r="61" spans="1:23" ht="14.5">
      <c r="A61" s="5">
        <f t="shared" si="5"/>
        <v>53</v>
      </c>
      <c r="B61" s="6" t="s">
        <v>11</v>
      </c>
      <c r="C61" s="7">
        <f t="shared" si="0"/>
        <v>2</v>
      </c>
      <c r="D61" s="6" t="s">
        <v>17</v>
      </c>
      <c r="E61" s="8">
        <f t="shared" si="1"/>
        <v>1</v>
      </c>
      <c r="F61" s="6" t="s">
        <v>25</v>
      </c>
      <c r="G61" s="8">
        <f t="shared" si="2"/>
        <v>2</v>
      </c>
      <c r="H61" s="8">
        <v>5</v>
      </c>
      <c r="I61" s="8">
        <v>5</v>
      </c>
      <c r="J61" s="8">
        <v>5</v>
      </c>
      <c r="K61" s="9">
        <v>5</v>
      </c>
      <c r="L61" s="9">
        <v>5</v>
      </c>
      <c r="M61" s="9">
        <f t="shared" si="3"/>
        <v>15</v>
      </c>
      <c r="N61" s="9">
        <f t="shared" si="4"/>
        <v>25</v>
      </c>
      <c r="P61" t="s">
        <v>55</v>
      </c>
      <c r="Q61">
        <v>5</v>
      </c>
      <c r="R61" s="10"/>
      <c r="S61" t="s">
        <v>55</v>
      </c>
      <c r="T61">
        <v>5</v>
      </c>
      <c r="V61" t="s">
        <v>55</v>
      </c>
      <c r="W61">
        <v>15</v>
      </c>
    </row>
    <row r="62" spans="1:23" ht="14.5">
      <c r="H62" s="11">
        <f t="shared" ref="H62:M62" si="6">SUM(H9:H61)</f>
        <v>251</v>
      </c>
      <c r="I62" s="11">
        <f t="shared" si="6"/>
        <v>250</v>
      </c>
      <c r="J62" s="11">
        <f t="shared" si="6"/>
        <v>251</v>
      </c>
      <c r="K62" s="11">
        <f t="shared" si="6"/>
        <v>244</v>
      </c>
      <c r="L62" s="11">
        <f t="shared" si="6"/>
        <v>250</v>
      </c>
      <c r="M62" s="11"/>
      <c r="N62" s="11">
        <f>SUM(N9:N61)</f>
        <v>1246</v>
      </c>
      <c r="P62" t="s">
        <v>56</v>
      </c>
      <c r="Q62">
        <v>251</v>
      </c>
      <c r="R62" s="10"/>
      <c r="S62" t="s">
        <v>56</v>
      </c>
      <c r="T62">
        <v>250</v>
      </c>
      <c r="V62" t="s">
        <v>56</v>
      </c>
      <c r="W62">
        <v>745</v>
      </c>
    </row>
    <row r="63" spans="1:23" ht="15" thickBot="1">
      <c r="P63" s="25" t="s">
        <v>57</v>
      </c>
      <c r="Q63" s="25">
        <v>53</v>
      </c>
      <c r="R63" s="10"/>
      <c r="S63" s="25" t="s">
        <v>57</v>
      </c>
      <c r="T63" s="25">
        <v>53</v>
      </c>
      <c r="V63" s="25" t="s">
        <v>57</v>
      </c>
      <c r="W63" s="25">
        <v>53</v>
      </c>
    </row>
  </sheetData>
  <mergeCells count="36">
    <mergeCell ref="Q22:R22"/>
    <mergeCell ref="S22:AC22"/>
    <mergeCell ref="P12:AC12"/>
    <mergeCell ref="Q13:R13"/>
    <mergeCell ref="S13:AC13"/>
    <mergeCell ref="P14:P18"/>
    <mergeCell ref="S14:AC14"/>
    <mergeCell ref="S15:AC15"/>
    <mergeCell ref="S16:AC16"/>
    <mergeCell ref="S17:AC17"/>
    <mergeCell ref="S18:AC18"/>
    <mergeCell ref="Q19:R19"/>
    <mergeCell ref="S19:AC19"/>
    <mergeCell ref="P20:P21"/>
    <mergeCell ref="S20:AC20"/>
    <mergeCell ref="S21:AC21"/>
    <mergeCell ref="P23:P27"/>
    <mergeCell ref="S23:AC23"/>
    <mergeCell ref="S24:AC24"/>
    <mergeCell ref="S25:AC25"/>
    <mergeCell ref="S26:AC26"/>
    <mergeCell ref="S27:AC27"/>
    <mergeCell ref="P35:U35"/>
    <mergeCell ref="P36:U36"/>
    <mergeCell ref="P37:U37"/>
    <mergeCell ref="P47:W47"/>
    <mergeCell ref="Q28:R28"/>
    <mergeCell ref="S28:AC28"/>
    <mergeCell ref="P29:P33"/>
    <mergeCell ref="T29:AC29"/>
    <mergeCell ref="T30:AC30"/>
    <mergeCell ref="Q31:Q33"/>
    <mergeCell ref="S31:S33"/>
    <mergeCell ref="T31:AC31"/>
    <mergeCell ref="T32:AC32"/>
    <mergeCell ref="T33:AC3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Response</vt:lpstr>
      <vt:lpstr>Statistik Deskriptif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Stefani Tiara Nobel</dc:creator>
  <cp:lastModifiedBy>Stefani Tiara Nobel</cp:lastModifiedBy>
  <dcterms:created xsi:type="dcterms:W3CDTF">2025-03-09T09:52:42Z</dcterms:created>
  <dcterms:modified xsi:type="dcterms:W3CDTF">2025-03-09T13:38:47Z</dcterms:modified>
</cp:coreProperties>
</file>